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RK\Downloads\"/>
    </mc:Choice>
  </mc:AlternateContent>
  <xr:revisionPtr revIDLastSave="0" documentId="13_ncr:1_{6A0E57AB-635D-4FDE-836A-AD1062AC25D6}" xr6:coauthVersionLast="47" xr6:coauthVersionMax="47" xr10:uidLastSave="{00000000-0000-0000-0000-000000000000}"/>
  <bookViews>
    <workbookView xWindow="-120" yWindow="-120" windowWidth="21840" windowHeight="13140" activeTab="4" xr2:uid="{00000000-000D-0000-FFFF-FFFF00000000}"/>
  </bookViews>
  <sheets>
    <sheet name="LOGIN" sheetId="1" r:id="rId1"/>
    <sheet name="Online ACE" sheetId="2" r:id="rId2"/>
    <sheet name="Online Petition" sheetId="3" r:id="rId3"/>
    <sheet name="Course Offering" sheetId="4" r:id="rId4"/>
    <sheet name="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5" l="1"/>
  <c r="E6" i="5"/>
  <c r="D6" i="5"/>
  <c r="C6" i="5"/>
  <c r="I6" i="5" s="1"/>
  <c r="B6" i="5"/>
  <c r="H6" i="5" l="1"/>
  <c r="J6" i="5" s="1"/>
  <c r="G6" i="5" l="1"/>
</calcChain>
</file>

<file path=xl/sharedStrings.xml><?xml version="1.0" encoding="utf-8"?>
<sst xmlns="http://schemas.openxmlformats.org/spreadsheetml/2006/main" count="1031" uniqueCount="716">
  <si>
    <t>LOGIN PAGE</t>
  </si>
  <si>
    <t>Test  ID</t>
  </si>
  <si>
    <t>Feature</t>
  </si>
  <si>
    <t>Descriptions</t>
  </si>
  <si>
    <t>Preconditions</t>
  </si>
  <si>
    <t>Test Steps</t>
  </si>
  <si>
    <t>Expected Result</t>
  </si>
  <si>
    <t>Actual Results</t>
  </si>
  <si>
    <t>Status</t>
  </si>
  <si>
    <t>TP-001</t>
  </si>
  <si>
    <t>Basic Login</t>
  </si>
  <si>
    <t>Verify login with correct student credentials</t>
  </si>
  <si>
    <t>Student account exists and is active</t>
  </si>
  <si>
    <t>1. Navigate to SIS login page 2. Enter valid student ID and password 3. Click "Proceed"</t>
  </si>
  <si>
    <t>Student dashboard is displayed</t>
  </si>
  <si>
    <t>Pass</t>
  </si>
  <si>
    <t>TP-002</t>
  </si>
  <si>
    <t>Login Failure Handling</t>
  </si>
  <si>
    <t>Verify login with incorrect password</t>
  </si>
  <si>
    <t>Student account exists</t>
  </si>
  <si>
    <t>1. Go to SIS login page 2. Enter valid student ID and incorrect password 3. Click "Proceed"</t>
  </si>
  <si>
    <t>An error message should be displayed, such as "Incorrect password", and the system should not accept invalid credentials.</t>
  </si>
  <si>
    <t>Accepts the invalid password.</t>
  </si>
  <si>
    <t>Fail</t>
  </si>
  <si>
    <t>TP-003</t>
  </si>
  <si>
    <t>Invalid User Handling</t>
  </si>
  <si>
    <t>Verify login with non-existent student ID</t>
  </si>
  <si>
    <t>None</t>
  </si>
  <si>
    <t>1. Go to SIS login page 2. Enter random student ID and any password 3. Click "Proceed"</t>
  </si>
  <si>
    <t>Display error: "Invalid student number"</t>
  </si>
  <si>
    <t>Display error: "Invalid student number”</t>
  </si>
  <si>
    <t>TP-004</t>
  </si>
  <si>
    <t>Input Validation</t>
  </si>
  <si>
    <t>Verify login with empty fields</t>
  </si>
  <si>
    <t>1. Go to SIS login page 2. Leave both fields empty 3. Click "Proceed"</t>
  </si>
  <si>
    <t>Shows all validation. The login process won't proceed until all fields are filled.</t>
  </si>
  <si>
    <t>Expected Result: Shows all validation. The login process won't proceed until all fields are filled.</t>
  </si>
  <si>
    <t>TP-005</t>
  </si>
  <si>
    <t>Verify login with only student ID</t>
  </si>
  <si>
    <t>1. Enter student ID only 2. Leave password field blank 3. Click "Proceed"</t>
  </si>
  <si>
    <t>Show validation: "Password is required"</t>
  </si>
  <si>
    <t>Show validation: "Password is required”</t>
  </si>
  <si>
    <t>TP-006</t>
  </si>
  <si>
    <t>Verify login with only password</t>
  </si>
  <si>
    <t>1. Leave student number blank 2. Enter password only 3. Click "Proceed"</t>
  </si>
  <si>
    <t>Show validation:" Student number is required” &amp; "Birth date is required"</t>
  </si>
  <si>
    <t>Show validation:" Student number is required” &amp; "Birth date is required”</t>
  </si>
  <si>
    <t>TP-007</t>
  </si>
  <si>
    <t>Security - Password Masking</t>
  </si>
  <si>
    <t>Verify password is masked during typing</t>
  </si>
  <si>
    <t>1. Click password field 2. Type password</t>
  </si>
  <si>
    <t>Characters appear as dots or asterisks</t>
  </si>
  <si>
    <t>Characters are masked properly</t>
  </si>
  <si>
    <t>TP-008</t>
  </si>
  <si>
    <t>Security - Account Lockout</t>
  </si>
  <si>
    <t>Verify account lock after 5 failed login attempts</t>
  </si>
  <si>
    <t>Valid account</t>
  </si>
  <si>
    <t>1. Enter wrong password 5 times consecutively</t>
  </si>
  <si>
    <t>Account temporarily locked</t>
  </si>
  <si>
    <t>Account locked after 5 attempts</t>
  </si>
  <si>
    <t>TP-009</t>
  </si>
  <si>
    <t>Admin Login</t>
  </si>
  <si>
    <t>Verify login with admin credentials</t>
  </si>
  <si>
    <t>Admin account exists</t>
  </si>
  <si>
    <t>1. Go to SIS login page 2. Enter admin credentials 3. Click "Proceed"</t>
  </si>
  <si>
    <t>Redirect to admin dashboard</t>
  </si>
  <si>
    <t>Redirected to admin dashboard</t>
  </si>
  <si>
    <t>TP-010</t>
  </si>
  <si>
    <t>Responsiveness - Mobile</t>
  </si>
  <si>
    <t>Verify login from mobile browser</t>
  </si>
  <si>
    <t>1. Open SIS login page on mobile 2. Enter valid credentials 3. Click "Proceed"</t>
  </si>
  <si>
    <t>Successful login on mobile</t>
  </si>
  <si>
    <t>Login successful, responsive layout</t>
  </si>
  <si>
    <t>TP-011</t>
  </si>
  <si>
    <t>System Maintenance Handling</t>
  </si>
  <si>
    <t>Verify login during server maintenance</t>
  </si>
  <si>
    <t>System is in maintenance mode</t>
  </si>
  <si>
    <t>1. Attempt login during maintenance</t>
  </si>
  <si>
    <t>Display maintenance notice</t>
  </si>
  <si>
    <t>TP-012</t>
  </si>
  <si>
    <t>Verify special characters in student ID</t>
  </si>
  <si>
    <t>1. Enter special characters in student ID 2. Click "Proceed"</t>
  </si>
  <si>
    <t>Error: Invalid ID format</t>
  </si>
  <si>
    <t>TP-013</t>
  </si>
  <si>
    <t>Missing Feature - Password Visibility Toggle</t>
  </si>
  <si>
    <t>Verify password visibility toggle (feature missing)</t>
  </si>
  <si>
    <t>Password visibility toggle feature is not available in the system</t>
  </si>
  <si>
    <t>1. Enter password 2. Click "Show Password" (toggle)</t>
  </si>
  <si>
    <t>Password visibility toggle feature is not available.</t>
  </si>
  <si>
    <t>No visibility toggle available.</t>
  </si>
  <si>
    <t>TP-014</t>
  </si>
  <si>
    <t>Missing Feature - Forgot Password Link</t>
  </si>
  <si>
    <t>Verify Forgot Password link is not available</t>
  </si>
  <si>
    <t>Forgot Password feature does not exist</t>
  </si>
  <si>
    <t>1. Look for a "Forgot Password" link</t>
  </si>
  <si>
    <t>No "Forgot Password" link is present</t>
  </si>
  <si>
    <t>No "Forgot Password" link found</t>
  </si>
  <si>
    <t>TP-015</t>
  </si>
  <si>
    <t>Security - CAPTCHA</t>
  </si>
  <si>
    <t>Verify CAPTCHA appears after multiple failed logins</t>
  </si>
  <si>
    <t>3+ failed login attempts</t>
  </si>
  <si>
    <t>1. Fail login 3 times 2. Observe CAPTCHA prompt</t>
  </si>
  <si>
    <t>CAPTCHA is displayed</t>
  </si>
  <si>
    <t>CAPTCHA appears</t>
  </si>
  <si>
    <t>TP-016</t>
  </si>
  <si>
    <t>User Experience - Keyboard Navigation</t>
  </si>
  <si>
    <t>Verify pressing "Enter" triggers login/proceed</t>
  </si>
  <si>
    <t>1. Fill credentials 2. Press Enter key</t>
  </si>
  <si>
    <t>Login/proceed is triggered</t>
  </si>
  <si>
    <t>Dashboard loads</t>
  </si>
  <si>
    <t>TP-017</t>
  </si>
  <si>
    <t>Verify tab navigation between input fields</t>
  </si>
  <si>
    <t>1. Press Tab key from student ID field</t>
  </si>
  <si>
    <t>Focus moves to password field</t>
  </si>
  <si>
    <t>Focus moves correctly</t>
  </si>
  <si>
    <t>TP-018</t>
  </si>
  <si>
    <t>Session Management</t>
  </si>
  <si>
    <t>Verify account remains logged in after refresh</t>
  </si>
  <si>
    <t>User is logged in</t>
  </si>
  <si>
    <t>1. Refresh browser page</t>
  </si>
  <si>
    <t>Dashboard remains active</t>
  </si>
  <si>
    <t>Redirected to login</t>
  </si>
  <si>
    <t>TP-019</t>
  </si>
  <si>
    <t>Performance - Slow Network</t>
  </si>
  <si>
    <t>Verify login when using slow network</t>
  </si>
  <si>
    <t>Internet is limited</t>
  </si>
  <si>
    <t>1. Login on slow network</t>
  </si>
  <si>
    <t>Login succeeds after delay</t>
  </si>
  <si>
    <t>Login succeeds after 7 seconds</t>
  </si>
  <si>
    <t>TP-020</t>
  </si>
  <si>
    <t>Verify simultaneous login from multiple devices</t>
  </si>
  <si>
    <t>Valid credentials</t>
  </si>
  <si>
    <t>1. Log in from Device A 2. Log in from Device B</t>
  </si>
  <si>
    <t>One session logs out or both stay active</t>
  </si>
  <si>
    <t>Both sessions stay active</t>
  </si>
  <si>
    <t>TP-021</t>
  </si>
  <si>
    <t>User Experience - Autofill</t>
  </si>
  <si>
    <t>Verify login with autofill</t>
  </si>
  <si>
    <t>Credentials saved in browser</t>
  </si>
  <si>
    <t>1. Open login page 2. Use autofill to populate fields</t>
  </si>
  <si>
    <t>Fields filled correctly, login successful</t>
  </si>
  <si>
    <t>Fields filled, login successful</t>
  </si>
  <si>
    <t>TP-022</t>
  </si>
  <si>
    <t>Verify input fields accept max 50 characters</t>
  </si>
  <si>
    <t>1. Enter more than 50 characters in fields</t>
  </si>
  <si>
    <t>Excess. Displays “Invalid student number”</t>
  </si>
  <si>
    <t>Displays “Invalid student number”</t>
  </si>
  <si>
    <t>TP-023</t>
  </si>
  <si>
    <t>Error Handling</t>
  </si>
  <si>
    <t>Verify incorrect password error disappears after correct login</t>
  </si>
  <si>
    <t>One failed attempt occurred before</t>
  </si>
  <si>
    <t>1. Fail once 2. Enter correct credentials</t>
  </si>
  <si>
    <t>Error clears, login succeeds</t>
  </si>
  <si>
    <t>Error clears, dashboard loads</t>
  </si>
  <si>
    <t>TP-024</t>
  </si>
  <si>
    <t>Session Management - Timeout</t>
  </si>
  <si>
    <t>Verify auto logout after inactivity</t>
  </si>
  <si>
    <t>1. Remain inactive for 15 minutes</t>
  </si>
  <si>
    <t>User is logged out automatically</t>
  </si>
  <si>
    <t>Auto logout occurred, redirected to login</t>
  </si>
  <si>
    <t>TP-025</t>
  </si>
  <si>
    <t>Birthdate Verification</t>
  </si>
  <si>
    <t>Verify login with correct birthdate</t>
  </si>
  <si>
    <t>Student account exists and birthdate is registered</t>
  </si>
  <si>
    <t>1. Go to SIS login page 2. Enter valid student ID, password, and birthdate 3. Click "Proceed"</t>
  </si>
  <si>
    <t>Dashboard is displayed</t>
  </si>
  <si>
    <t>Dashboard displayed</t>
  </si>
  <si>
    <t>TP-026</t>
  </si>
  <si>
    <t>Verify login with incorrect birthdate</t>
  </si>
  <si>
    <t>1. Enter valid student ID and password, incorrect birth date 2. Click "Proceed"</t>
  </si>
  <si>
    <t>Error: "Incorrect birthdate"</t>
  </si>
  <si>
    <t>TP-027</t>
  </si>
  <si>
    <t>Verify login with missing birthdate field</t>
  </si>
  <si>
    <t>1. Leave birth date field blank 2. Fill other credentials 3. Click "Proceed"</t>
  </si>
  <si>
    <t>Prompt user to enter birthdate</t>
  </si>
  <si>
    <t>Validation message appears</t>
  </si>
  <si>
    <t>TP-028</t>
  </si>
  <si>
    <t>Navigation - Footer Links</t>
  </si>
  <si>
    <t>Verify Privacy Policy link is accessible on login page</t>
  </si>
  <si>
    <t>Login page loaded</t>
  </si>
  <si>
    <t>1. Locate and click Privacy Policy link</t>
  </si>
  <si>
    <t>Redirect to privacy policy page</t>
  </si>
  <si>
    <t>Page opens successfully</t>
  </si>
  <si>
    <t>TP-029</t>
  </si>
  <si>
    <t>User Interface - Button State</t>
  </si>
  <si>
    <t>Verify Proceed button is disabled until all fields are filled</t>
  </si>
  <si>
    <t>Fields exist and required</t>
  </si>
  <si>
    <t>1. Leave one field empty 2. Try clicking Proceed</t>
  </si>
  <si>
    <t>Proceed button is disabled</t>
  </si>
  <si>
    <t>Proceed button stays disabled</t>
  </si>
  <si>
    <t>TP-030</t>
  </si>
  <si>
    <t>Verify Proceed button becomes clickable after all inputs are valid</t>
  </si>
  <si>
    <t>All inputs provided</t>
  </si>
  <si>
    <t>1. Fill all required fields 2. Accept Terms 3. Observe Proceed button</t>
  </si>
  <si>
    <t>Button becomes active</t>
  </si>
  <si>
    <t>Proceed button is clickable</t>
  </si>
  <si>
    <t>Online ACE PAGE</t>
  </si>
  <si>
    <t>ACE_001</t>
  </si>
  <si>
    <t>Name Display</t>
  </si>
  <si>
    <t>Verify system displays full name with “Ñ”</t>
  </si>
  <si>
    <t>User name contains “Ñ”</t>
  </si>
  <si>
    <t>Login and view name</t>
  </si>
  <si>
    <t>Full name should display as "ALIÑO, MARK BRAZAL"</t>
  </si>
  <si>
    <t>Displays "ALI" only</t>
  </si>
  <si>
    <t>ACE_002</t>
  </si>
  <si>
    <t>My Subjects</t>
  </si>
  <si>
    <t>Verify that the subject list loads successfully</t>
  </si>
  <si>
    <t>Navigate to Online ACE and click My Subjects</t>
  </si>
  <si>
    <t>Subject list should load with no errors</t>
  </si>
  <si>
    <t>ACE_003</t>
  </si>
  <si>
    <t>Check if subject code column is displayed</t>
  </si>
  <si>
    <t>User is on My Subjects page</t>
  </si>
  <si>
    <t>Look at the table headers</t>
  </si>
  <si>
    <t>"Subject Code" header should be visible</t>
  </si>
  <si>
    <t>ACE_004</t>
  </si>
  <si>
    <t>Check if subject descriptions are accurate</t>
  </si>
  <si>
    <t>Subjects exist in database</t>
  </si>
  <si>
    <t>Compare listed descriptions with curriculum</t>
  </si>
  <si>
    <t>Descriptions should match course records</t>
  </si>
  <si>
    <t>ACE_005</t>
  </si>
  <si>
    <t>Verify the unit column displays correct values</t>
  </si>
  <si>
    <t>Subject units are defined</t>
  </si>
  <si>
    <t>View the 'Units' column</t>
  </si>
  <si>
    <t>Units should match the number of units per subject</t>
  </si>
  <si>
    <t>ACE_006</t>
  </si>
  <si>
    <t>Validate section information is shown</t>
  </si>
  <si>
    <t>Subjects are assigned to a section</t>
  </si>
  <si>
    <t>View the 'Section' column</t>
  </si>
  <si>
    <t>Each subject has a correct section listed</t>
  </si>
  <si>
    <t>ACE_007</t>
  </si>
  <si>
    <t>Ensure proper alignment of table columns</t>
  </si>
  <si>
    <t>Visually inspect column alignment</t>
  </si>
  <si>
    <t>Columns should be properly aligned</t>
  </si>
  <si>
    <t>ACE_008</t>
  </si>
  <si>
    <t>Validate sorting by subject code</t>
  </si>
  <si>
    <t>Click subject code header</t>
  </si>
  <si>
    <t>Subjects should sort A-Z or Z-A</t>
  </si>
  <si>
    <t>ACE_009</t>
  </si>
  <si>
    <t>Validate sorting by units</t>
  </si>
  <si>
    <t>Click 'Units' column header</t>
  </si>
  <si>
    <t>Subjects should sort by numeric units</t>
  </si>
  <si>
    <t>ACE_010</t>
  </si>
  <si>
    <t>Validate schedule sorting</t>
  </si>
  <si>
    <t>Click 'Schedule' header</t>
  </si>
  <si>
    <t>Sorting should reorder subjects chronologically</t>
  </si>
  <si>
    <t>ACE_011</t>
  </si>
  <si>
    <t>Confirm subject list displays total units correctly</t>
  </si>
  <si>
    <t>Total is 21 units</t>
  </si>
  <si>
    <t>Sum the unit values</t>
  </si>
  <si>
    <t>Sum should equal 21</t>
  </si>
  <si>
    <t>ACE_012</t>
  </si>
  <si>
    <t>Test that subject list updates after adjustments</t>
  </si>
  <si>
    <t>Make changes during adjustment period</t>
  </si>
  <si>
    <t>Return to My Subjects page</t>
  </si>
  <si>
    <t>Adjusted subjects should reflect updated info</t>
  </si>
  <si>
    <t>ACE_013</t>
  </si>
  <si>
    <t>Validate access control for regular students</t>
  </si>
  <si>
    <t>User status: Regular</t>
  </si>
  <si>
    <t>Try accessing My Subjects</t>
  </si>
  <si>
    <t>Access should be granted</t>
  </si>
  <si>
    <t>ACE_014</t>
  </si>
  <si>
    <t>Confirm loading indicator is shown on data fetch</t>
  </si>
  <si>
    <t>Load My Subjects page</t>
  </si>
  <si>
    <t>Observe UI during load</t>
  </si>
  <si>
    <t>A spinner/loading icon should appear</t>
  </si>
  <si>
    <t>ACE_015</t>
  </si>
  <si>
    <t>Sorting Buttons</t>
  </si>
  <si>
    <t>Check if sort button toggles A-Z to Z-A on Subject Code</t>
  </si>
  <si>
    <t>Table is loaded</t>
  </si>
  <si>
    <t>Click Subject Code sort button</t>
  </si>
  <si>
    <t>Sort order toggles between A-Z and Z-A</t>
  </si>
  <si>
    <t>ACE_016</t>
  </si>
  <si>
    <t>Verify Subject Code sort resets to default when clicked 3 times</t>
  </si>
  <si>
    <t>Click sort 3 times</t>
  </si>
  <si>
    <t>Subject list resets to original order</t>
  </si>
  <si>
    <t>ACE_017</t>
  </si>
  <si>
    <t>Validate sort functionality on Units column</t>
  </si>
  <si>
    <t>Click Units header sort button</t>
  </si>
  <si>
    <t>Subjects sort ascending/descending by unit count</t>
  </si>
  <si>
    <t>ACE_018</t>
  </si>
  <si>
    <t>Check date/time sort accuracy in Schedule column</t>
  </si>
  <si>
    <t>Schedules are varied</t>
  </si>
  <si>
    <t>Click Schedule header sort button</t>
  </si>
  <si>
    <t>Subjects sorted by earliest to latest schedule</t>
  </si>
  <si>
    <t>ACE_019</t>
  </si>
  <si>
    <t>Ensure that only one column is sorted at a time</t>
  </si>
  <si>
    <t>Sort multiple columns</t>
  </si>
  <si>
    <t>Only one column’s sort is active</t>
  </si>
  <si>
    <t>ACE_020</t>
  </si>
  <si>
    <t>Confirm sort order is retained after page refresh</t>
  </si>
  <si>
    <t>Sort any column</t>
  </si>
  <si>
    <t>Refresh page</t>
  </si>
  <si>
    <t>Sorting resets or persists based on expected behavior</t>
  </si>
  <si>
    <t>ACE_021</t>
  </si>
  <si>
    <t>Validate sort order remains stable with equal values</t>
  </si>
  <si>
    <t>Subjects with same units</t>
  </si>
  <si>
    <t>Sort by Units</t>
  </si>
  <si>
    <t>Their relative order should remain unchanged (stable sort)</t>
  </si>
  <si>
    <t>ACE_022</t>
  </si>
  <si>
    <t>Test sorting when one or more fields are empty</t>
  </si>
  <si>
    <t>Adjustment column has empty cells</t>
  </si>
  <si>
    <t>Sort by Adjustment column</t>
  </si>
  <si>
    <t>Sort should handle empty fields correctly</t>
  </si>
  <si>
    <t>ACE_023</t>
  </si>
  <si>
    <t>Check sorting doesn’t break table alignment</t>
  </si>
  <si>
    <t>Observe entire row after sort</t>
  </si>
  <si>
    <t>Row alignment must stay intact</t>
  </si>
  <si>
    <t>ACE_024</t>
  </si>
  <si>
    <t>Confirm sort function is accessible via keyboard</t>
  </si>
  <si>
    <t>Use Tab and Enter keys</t>
  </si>
  <si>
    <t>Navigate to sort button and press Enter</t>
  </si>
  <si>
    <t>Sorting should be triggered</t>
  </si>
  <si>
    <t>ACE_025</t>
  </si>
  <si>
    <t>Ensure column sort buttons are disabled while data is loading</t>
  </si>
  <si>
    <t>Reload table</t>
  </si>
  <si>
    <t>Observe sort buttons</t>
  </si>
  <si>
    <t>Buttons should disable while table loads</t>
  </si>
  <si>
    <t>ACE_026</t>
  </si>
  <si>
    <t>History</t>
  </si>
  <si>
    <t>Verify 'Added Subjects' table is visible</t>
  </si>
  <si>
    <t>User logged in</t>
  </si>
  <si>
    <t>Navigate to History tab</t>
  </si>
  <si>
    <t>Added Subjects' table is displayed</t>
  </si>
  <si>
    <t>Displayed</t>
  </si>
  <si>
    <t>ACE_027</t>
  </si>
  <si>
    <t>Check default message when no subjects added</t>
  </si>
  <si>
    <t>No subjects added</t>
  </si>
  <si>
    <t>View History tab</t>
  </si>
  <si>
    <t>ACE History not available.' message shown</t>
  </si>
  <si>
    <t>Message shown</t>
  </si>
  <si>
    <t>ACE_028</t>
  </si>
  <si>
    <t>Verify table columns are present</t>
  </si>
  <si>
    <t>History exists</t>
  </si>
  <si>
    <t>View columns in History</t>
  </si>
  <si>
    <t>Subject Code, Description, Section, etc. visible</t>
  </si>
  <si>
    <t>Columns visible</t>
  </si>
  <si>
    <t>ACE_029</t>
  </si>
  <si>
    <t>Display added subject after ACE request</t>
  </si>
  <si>
    <t>Subject added via ACE</t>
  </si>
  <si>
    <t>Open History tab</t>
  </si>
  <si>
    <t>Subject row appears with correct info</t>
  </si>
  <si>
    <t>Data shown</t>
  </si>
  <si>
    <t>ACE_030</t>
  </si>
  <si>
    <t>Sort by Subject Code using sort button</t>
  </si>
  <si>
    <t>Table has entries</t>
  </si>
  <si>
    <t>Click Subject Code header</t>
  </si>
  <si>
    <t>Table sorted by Subject Code</t>
  </si>
  <si>
    <t>Sorted correctly</t>
  </si>
  <si>
    <t>ACE_031</t>
  </si>
  <si>
    <t>Sort by Subject Description using sort button</t>
  </si>
  <si>
    <t>Click Subject Description header</t>
  </si>
  <si>
    <t>Table sorted by Subject Description</t>
  </si>
  <si>
    <t>ACE_032</t>
  </si>
  <si>
    <t>Sort by Added On using sort button</t>
  </si>
  <si>
    <t>Click Added On header</t>
  </si>
  <si>
    <t>Table sorted by Added On date</t>
  </si>
  <si>
    <t>ACE_033</t>
  </si>
  <si>
    <t>Validate 'Added On' date format</t>
  </si>
  <si>
    <t>Subject added</t>
  </si>
  <si>
    <t>Check Added On field</t>
  </si>
  <si>
    <t>Date appears in correct format</t>
  </si>
  <si>
    <t>Proper format</t>
  </si>
  <si>
    <t>ACE_034</t>
  </si>
  <si>
    <t>Verify 'Added By' field value</t>
  </si>
  <si>
    <t>Admin added subject</t>
  </si>
  <si>
    <t>View Added By column</t>
  </si>
  <si>
    <t>Correct user/admin shown</t>
  </si>
  <si>
    <t>Correct value</t>
  </si>
  <si>
    <t>ACE_035</t>
  </si>
  <si>
    <t>Rules Module</t>
  </si>
  <si>
    <t>Check presence of 'What you can do' section</t>
  </si>
  <si>
    <t>User on Rules tab</t>
  </si>
  <si>
    <t>View top half of Rules content</t>
  </si>
  <si>
    <t>What you can do' section is visible</t>
  </si>
  <si>
    <t>Visible</t>
  </si>
  <si>
    <t>ACE_036</t>
  </si>
  <si>
    <t>Check presence of 'What you can not do' section</t>
  </si>
  <si>
    <t>Scroll to bottom of Rules content</t>
  </si>
  <si>
    <t>What you can not do' section is visible</t>
  </si>
  <si>
    <t>ACE_037</t>
  </si>
  <si>
    <t>Validate all positive rules are listed</t>
  </si>
  <si>
    <t>Rules tab accessible</t>
  </si>
  <si>
    <t>Count bullet points under 'What you can do'</t>
  </si>
  <si>
    <t>Matches system requirements (10 items)</t>
  </si>
  <si>
    <t>10 listed</t>
  </si>
  <si>
    <t>ACE_038</t>
  </si>
  <si>
    <t>Validate all negative rules are listed</t>
  </si>
  <si>
    <t>Count bullet points under 'What you can not do'</t>
  </si>
  <si>
    <t>Matches system requirements (13 items)</t>
  </si>
  <si>
    <t>13 listed</t>
  </si>
  <si>
    <t>ACE_039</t>
  </si>
  <si>
    <t>Check bullet formatting</t>
  </si>
  <si>
    <t>Inspect list items</t>
  </si>
  <si>
    <t>Each rule is a separate bullet point</t>
  </si>
  <si>
    <t>Properly formatted</t>
  </si>
  <si>
    <t>ACE_040</t>
  </si>
  <si>
    <t>Verify accurate rule: 'Can change subject 3 times only'</t>
  </si>
  <si>
    <t>Read final rule in 'can do' section</t>
  </si>
  <si>
    <t>Rule is correctly written</t>
  </si>
  <si>
    <t>Correct</t>
  </si>
  <si>
    <t>ACE_041</t>
  </si>
  <si>
    <t>Verify accurate rule: 'Can't join if section &gt;75'</t>
  </si>
  <si>
    <t>Read relevant rule under 'can't do'</t>
  </si>
  <si>
    <t>Rule clearly states section limit</t>
  </si>
  <si>
    <t>ACE_042</t>
  </si>
  <si>
    <t>UI layout remains aligned</t>
  </si>
  <si>
    <t>Observe alignment of rules text</t>
  </si>
  <si>
    <t>Clean and consistent format</t>
  </si>
  <si>
    <t>Aligned</t>
  </si>
  <si>
    <t>ACE_043</t>
  </si>
  <si>
    <t>No overlapping with buttons</t>
  </si>
  <si>
    <t>View Rules section</t>
  </si>
  <si>
    <t>Content doesn't overlap with buttons</t>
  </si>
  <si>
    <t>No overlap</t>
  </si>
  <si>
    <t>ACE_044</t>
  </si>
  <si>
    <t>Check grammar and clarity</t>
  </si>
  <si>
    <t>Read all rule statements</t>
  </si>
  <si>
    <t>All rules are grammatically correct and clear</t>
  </si>
  <si>
    <t>Clear</t>
  </si>
  <si>
    <t>ACE_045</t>
  </si>
  <si>
    <t>User's Manual Module</t>
  </si>
  <si>
    <t>Check if clicking the 'User's Manual' tab loads the embedded Google Drive file.</t>
  </si>
  <si>
    <t>User is on the Online ACE dashboard.</t>
  </si>
  <si>
    <t>Click on 'User's Manual' tab</t>
  </si>
  <si>
    <t>Embedded Google Drive file loads inside the iframe.</t>
  </si>
  <si>
    <t>ACE_046</t>
  </si>
  <si>
    <t>Ensure a fallback link is available when the embedded file fails to load.</t>
  </si>
  <si>
    <t>Embedded file is not available or link is broken.</t>
  </si>
  <si>
    <t>Open 'User's Manual' tab and Check for fallback link text</t>
  </si>
  <si>
    <t>View it from here' fallback link is present and visible.</t>
  </si>
  <si>
    <t>ACE_047</t>
  </si>
  <si>
    <t>Verify that clicking the fallback link opens a new tab.</t>
  </si>
  <si>
    <t>Fallback link is visible.</t>
  </si>
  <si>
    <t>Click 'View it from here'</t>
  </si>
  <si>
    <t>A new tab opens with the alternative link.</t>
  </si>
  <si>
    <t>ACE_048</t>
  </si>
  <si>
    <t>Test behavior when Google Drive file is missing.</t>
  </si>
  <si>
    <t>Embedded file has been deleted.</t>
  </si>
  <si>
    <t>Open 'User's Manual' tab</t>
  </si>
  <si>
    <t>Google Drive shows 'file not found' error message.</t>
  </si>
  <si>
    <t>ACE_049</t>
  </si>
  <si>
    <t>Ensure iframe has scroll enabled for full document view.</t>
  </si>
  <si>
    <t>User's Manual file is larger than the iframe view.</t>
  </si>
  <si>
    <t>Click 'User's Manual' and try scrolling</t>
  </si>
  <si>
    <t>Iframe allows vertical scrolling to view the entire file.</t>
  </si>
  <si>
    <t>ACE_050</t>
  </si>
  <si>
    <t>Ensure the iframe does not show scrollbars when file is short.</t>
  </si>
  <si>
    <t>Embedded file is one-page document.</t>
  </si>
  <si>
    <t>Iframe has no scrollbars.</t>
  </si>
  <si>
    <t>Online Petition PAGE</t>
  </si>
  <si>
    <t>OP001</t>
  </si>
  <si>
    <t>Page Load</t>
  </si>
  <si>
    <t>Check if the Online Petition is accessible and loads correctly.</t>
  </si>
  <si>
    <t>The device must be connected to the internet. The browser must be updated.</t>
  </si>
  <si>
    <t>1.  Open a web browser. 2.  Enter the PUPSIS Website URL in the address bar. 3.  Click SIS tools under the forgot password 4.  Press Enter and wait for the site to load. 5.  Click Online Petition and check if the website is working.</t>
  </si>
  <si>
    <t>The user should be redirected to the Online Petition Site</t>
  </si>
  <si>
    <t>OP_002</t>
  </si>
  <si>
    <t>Font Design</t>
  </si>
  <si>
    <t>Check if the 'Online Petition' header uses the correct font family, size, and weight</t>
  </si>
  <si>
    <t>Student is logged in to the SIS tools</t>
  </si>
  <si>
    <t>1.  Open the SIS tools page 2.  Inspect the 'Online Petition' header 3.  Verify that the font family, size, and weight match the design of the other headers.</t>
  </si>
  <si>
    <t>The font family, size, and weight of the header should match the other headers</t>
  </si>
  <si>
    <t>Same designs with other headers</t>
  </si>
  <si>
    <t>OP_003</t>
  </si>
  <si>
    <t>Check if the font family, size and weight of the Online Petition description text match the design of other description text.</t>
  </si>
  <si>
    <t>1.  Open the SIS tools page 2.  Inspect the 'Online Petition' description text 3.  Verify that the font family, size, and weight match the design of the other headers.</t>
  </si>
  <si>
    <t>The font family, size, and weight of the description text should match the other descriptions.</t>
  </si>
  <si>
    <t>Same designs with other description text</t>
  </si>
  <si>
    <t>OP_004</t>
  </si>
  <si>
    <t>Responsiveness</t>
  </si>
  <si>
    <t>Verify responsiveness of the Online Petition Card in Desktop mode</t>
  </si>
  <si>
    <t>1.  Open the SIS tools page 2.  Toggle the Device toolbar and resize to 1920x1080</t>
  </si>
  <si>
    <t>All elements (cards, text, buttons) adjust correctly to the screen size.</t>
  </si>
  <si>
    <t>The cards are aligned in the row correctly</t>
  </si>
  <si>
    <t>OP_005</t>
  </si>
  <si>
    <t>Verify responsiveness of the Online Petition Card in Tablet mode</t>
  </si>
  <si>
    <t>1.  Open the SIS tools page 2.  Toggle the Device toolbar and resize to 768x1024</t>
  </si>
  <si>
    <t>OP_006</t>
  </si>
  <si>
    <t>Verify responsiveness of the Online Petition Card in Mobile mode</t>
  </si>
  <si>
    <t>1.  Open the SIS tools page 2.  Toggle the Device toolbar and resize to 375x667</t>
  </si>
  <si>
    <t>The cards are aligned in the column correctly</t>
  </si>
  <si>
    <t>OP_007</t>
  </si>
  <si>
    <t xml:space="preserve">Confirm Button </t>
  </si>
  <si>
    <t>Verify the Proceed button if it redirects correctly to the Online Petition page</t>
  </si>
  <si>
    <t>1.  Open the SIS tools page 2.  Press the proceed button</t>
  </si>
  <si>
    <t>Successfully redirected to Online Petition page</t>
  </si>
  <si>
    <t>Redirected to the desired page</t>
  </si>
  <si>
    <t>OP_008</t>
  </si>
  <si>
    <t>Student Information</t>
  </si>
  <si>
    <t>Verify that the student information display</t>
  </si>
  <si>
    <t>1.  Open the Online Petition Page 2.  Observe the student information section on the dashboard 3.  Verify name, ID number, program, and academic status display</t>
  </si>
  <si>
    <t>The system must display the correct information of the student</t>
  </si>
  <si>
    <t>Student information displays correctly</t>
  </si>
  <si>
    <t>OP_009</t>
  </si>
  <si>
    <t>Check if the font family of the Student Information is correct</t>
  </si>
  <si>
    <t>1.  Open the Online Petition Page 2.  Inspect the Student Information 3.  Check if the website is using Source Sans Pro for all the student information</t>
  </si>
  <si>
    <t>The system is using the correct font family</t>
  </si>
  <si>
    <t>The system is using Source Sans Pro</t>
  </si>
  <si>
    <t>OP_010</t>
  </si>
  <si>
    <t>Tab Navigation</t>
  </si>
  <si>
    <t>Check that the request tab is navigating properly</t>
  </si>
  <si>
    <t>1.  Open the Online Petition Page 2.  Click the Request tab</t>
  </si>
  <si>
    <t>Correctly redirected to the desired tab</t>
  </si>
  <si>
    <t>The system redirects the user to the Request section</t>
  </si>
  <si>
    <t>OP_011</t>
  </si>
  <si>
    <t>Check that the rule tab is navigating properly</t>
  </si>
  <si>
    <t>1.  Open the Online Petition Page 2.  Click the Rule tab</t>
  </si>
  <si>
    <t>The system redirects the user to the Rule section</t>
  </si>
  <si>
    <t>OP_012</t>
  </si>
  <si>
    <t>Check that the User's Manual tab is navigating properly</t>
  </si>
  <si>
    <t>1.  Open the Online Petition Page 2.  Click the User's Manual tab</t>
  </si>
  <si>
    <t>The system redirects the user to the User's Manual section</t>
  </si>
  <si>
    <t>OP_013</t>
  </si>
  <si>
    <t>Verify responsiveness of the Online in Desktop mode</t>
  </si>
  <si>
    <t>All elements adjust correctly to the screen size.</t>
  </si>
  <si>
    <t>The elements are resized properly</t>
  </si>
  <si>
    <t>OP_014</t>
  </si>
  <si>
    <t>Verify responsiveness of the Online in Table mode</t>
  </si>
  <si>
    <t>OP_015</t>
  </si>
  <si>
    <t>Verify responsiveness of the Online in Mobile mode</t>
  </si>
  <si>
    <t>OP_016</t>
  </si>
  <si>
    <t>Access</t>
  </si>
  <si>
    <t>Verify Online Petition accessibility in Chrome browser</t>
  </si>
  <si>
    <t>Chrome is downloaded on the preferred device</t>
  </si>
  <si>
    <t>1.  Log in your SIS tools account in Chrome 2.  Then open the Online Petition page if accessible</t>
  </si>
  <si>
    <t>The Online Petition page loads correctly on the Chrome browser.</t>
  </si>
  <si>
    <t>The online petition loaded correctly</t>
  </si>
  <si>
    <t>OP_017</t>
  </si>
  <si>
    <t>Verify Online Petition accessibility in the Brave browser</t>
  </si>
  <si>
    <t>Brave is downloaded on the preferred device</t>
  </si>
  <si>
    <t>1.  Log in to your SIS tools account in Brave 2.  Then open the Online Petition page if accessible</t>
  </si>
  <si>
    <t>The Online Petition page loads correctly on the Brave browser.</t>
  </si>
  <si>
    <t>OP_018</t>
  </si>
  <si>
    <t>Verify Online Petition accessibility in the Edge browser</t>
  </si>
  <si>
    <t>Edge is downloaded on the preferred device</t>
  </si>
  <si>
    <t>The Online Petition page loads correctly on the edge browser.</t>
  </si>
  <si>
    <t>OP_019</t>
  </si>
  <si>
    <t>Verify Online Petition accessibility in the Opera browser</t>
  </si>
  <si>
    <t>Opera is downloaded on the preferred device</t>
  </si>
  <si>
    <t>1.  Log in to your SIS tools account in Operга 2.  Then open the Online Petition page if accessible</t>
  </si>
  <si>
    <t>The Online Petition page loads correctly on the Opera browser.</t>
  </si>
  <si>
    <t>The online petition loaded correctly.</t>
  </si>
  <si>
    <t>OP_020</t>
  </si>
  <si>
    <t>1.  Log in to your SIS tools account in Opera 2.  Then open the Online Petition page if accessible</t>
  </si>
  <si>
    <t>OP_021</t>
  </si>
  <si>
    <t>View Manual</t>
  </si>
  <si>
    <t>Check if the User Manual can access or view</t>
  </si>
  <si>
    <t>1. Log in to your SIS tools 2. Click to the Online Petition Page 3.  Navigate to Request tab</t>
  </si>
  <si>
    <t>The user manual can be viewed</t>
  </si>
  <si>
    <t>The user manual can't be viewd</t>
  </si>
  <si>
    <t>Course Offering Page</t>
  </si>
  <si>
    <t>Expected Results</t>
  </si>
  <si>
    <t>CO_001</t>
  </si>
  <si>
    <t>Verify page loads successfully</t>
  </si>
  <si>
    <t>Student is logged in</t>
  </si>
  <si>
    <t>1. Navigate to the Offering page
 2. Wait for the page to load</t>
  </si>
  <si>
    <t>Page loads without errors</t>
  </si>
  <si>
    <t>Page loads normally within 2-3 seconds</t>
  </si>
  <si>
    <t>CO_002</t>
  </si>
  <si>
    <t>Table Display</t>
  </si>
  <si>
    <t>Verify table displays enrolled subjects</t>
  </si>
  <si>
    <t>Student has enrolled subjects</t>
  </si>
  <si>
    <t>1. View the subject list</t>
  </si>
  <si>
    <t>Subject Code, Subject Description, Section, College Campus/Branch, Units, Schedule, Slots</t>
  </si>
  <si>
    <t>All required columns are displayed correctly</t>
  </si>
  <si>
    <t>CO_003</t>
  </si>
  <si>
    <t>Semester Filtering</t>
  </si>
  <si>
    <t>Check if subject list corresponds to current semester</t>
  </si>
  <si>
    <t>Student enrolled this semester</t>
  </si>
  <si>
    <t>1. Compare displayed subjects with official class list</t>
  </si>
  <si>
    <t>Only current semester subjects are shown</t>
  </si>
  <si>
    <t>Correct subjects for current semester are displayed</t>
  </si>
  <si>
    <t>CO_004</t>
  </si>
  <si>
    <t>Unit Calculation</t>
  </si>
  <si>
    <t>Validate total number of units</t>
  </si>
  <si>
    <t>Student has 15+ units</t>
  </si>
  <si>
    <t>1. Manually sum up subject units
 2. Verify system total</t>
  </si>
  <si>
    <t>Units total is accurate</t>
  </si>
  <si>
    <t>Doesn’t show the total number of units</t>
  </si>
  <si>
    <t>CO_005</t>
  </si>
  <si>
    <t>Schedule Format</t>
  </si>
  <si>
    <t>Validate schedule format</t>
  </si>
  <si>
    <t>Enrolled subjects have schedules</t>
  </si>
  <si>
    <t>1. Check schedule column formatting</t>
  </si>
  <si>
    <t>Format is “Day Time - Room”</t>
  </si>
  <si>
    <t>Format is consistent (e.g.,F/F 07:30AM-10:30AM/06:00PM-08:00PM TBA/TBA)</t>
  </si>
  <si>
    <t>CO_006</t>
  </si>
  <si>
    <t>Duplication Check</t>
  </si>
  <si>
    <t>Check for duplicated subjects</t>
  </si>
  <si>
    <t>Student has unique subject list</t>
  </si>
  <si>
    <t>1. Review each row for duplication</t>
  </si>
  <si>
    <t>No duplicate rows</t>
  </si>
  <si>
    <t>with duplicate rows of those section who have the same subject</t>
  </si>
  <si>
    <t>CO_007</t>
  </si>
  <si>
    <t>Table Headers</t>
  </si>
  <si>
    <t>Validate table column headers are correct</t>
  </si>
  <si>
    <t>Course Offering table is displayed</t>
  </si>
  <si>
    <t>1. Review column titles</t>
  </si>
  <si>
    <t>Correct labels: Subject Code, Subject Description, Section, College Campus/Branch, Units, Schedule, Slots</t>
  </si>
  <si>
    <t>All headers are present and correct</t>
  </si>
  <si>
    <t>CO_008</t>
  </si>
  <si>
    <t>Sorting Feature</t>
  </si>
  <si>
    <t>Check if data is sortable (if applicable)</t>
  </si>
  <si>
    <t>Table has sort feature</t>
  </si>
  <si>
    <t>1. Click a column header
2. Check for sorting</t>
  </si>
  <si>
    <t>Rows reorder</t>
  </si>
  <si>
    <t>You can reorder each column</t>
  </si>
  <si>
    <t>CO_009</t>
  </si>
  <si>
    <t>Responsive Design</t>
  </si>
  <si>
    <t>Check for horizontal scroll (responsive layout)</t>
  </si>
  <si>
    <t>Load page on small screen</t>
  </si>
  <si>
    <t>1. Resize browser window</t>
  </si>
  <si>
    <t>Table remains usable</t>
  </si>
  <si>
    <t>Horizontal scroll appears when needed</t>
  </si>
  <si>
    <t>CO_010</t>
  </si>
  <si>
    <t>Visual Design</t>
  </si>
  <si>
    <t>Validate color scheme and contrast</t>
  </si>
  <si>
    <t>Page is loaded</t>
  </si>
  <si>
    <t>1. Review readability and contrast</t>
  </si>
  <si>
    <t>Text is visible and legible</t>
  </si>
  <si>
    <t>Good contrast and readability</t>
  </si>
  <si>
    <t>CO_011</t>
  </si>
  <si>
    <t>Mobile Responsiveness</t>
  </si>
  <si>
    <t>Confirm mobile responsiveness</t>
  </si>
  <si>
    <t>Load page on mobile</t>
  </si>
  <si>
    <t>1. Open browser developer tools or real mobile device</t>
  </si>
  <si>
    <t>Table is readable on mobile</t>
  </si>
  <si>
    <t>Table is readable but scroll is required</t>
  </si>
  <si>
    <t>CO_012</t>
  </si>
  <si>
    <t>Text Layout</t>
  </si>
  <si>
    <t>Ensure text does not overlap</t>
  </si>
  <si>
    <t>Table is displayed</t>
  </si>
  <si>
    <t>1. Review all text elements</t>
  </si>
  <si>
    <t>No overlapping text</t>
  </si>
  <si>
    <t>All text aligns well</t>
  </si>
  <si>
    <t>CO_013</t>
  </si>
  <si>
    <t>Scrolling Behavior</t>
  </si>
  <si>
    <t>Verify scroll bar behavior</t>
  </si>
  <si>
    <t>Table height exceeds screen</t>
  </si>
  <si>
    <t>1. Scroll through the subject list</t>
  </si>
  <si>
    <t>Vertical scroll is functional</t>
  </si>
  <si>
    <t>Scroll works as expected</t>
  </si>
  <si>
    <t>CO_014</t>
  </si>
  <si>
    <t>Authentication Redirect</t>
  </si>
  <si>
    <t>Access page without login</t>
  </si>
  <si>
    <t>Student is logged out</t>
  </si>
  <si>
    <t>1. Go directly to Offering URL</t>
  </si>
  <si>
    <t>Redirect to login page</t>
  </si>
  <si>
    <t>CO_015</t>
  </si>
  <si>
    <t>Frontend Protection</t>
  </si>
  <si>
    <t>Try editing data from front-end (dev tools)</t>
  </si>
  <si>
    <t>Page loaded in browser</t>
  </si>
  <si>
    <t>1. Edit subject name in dev tools</t>
  </si>
  <si>
    <t>Local change only</t>
  </si>
  <si>
    <t>Change is not saved or reflected on refresh</t>
  </si>
  <si>
    <t>CO_016</t>
  </si>
  <si>
    <t>Security</t>
  </si>
  <si>
    <t>Verify secure HTTPS connection</t>
  </si>
  <si>
    <t>Visit URL</t>
  </si>
  <si>
    <t>1. Check browser lock icon</t>
  </si>
  <si>
    <t>Connection is secure</t>
  </si>
  <si>
    <t>HTTPS certificate valid</t>
  </si>
  <si>
    <t>CO_017</t>
  </si>
  <si>
    <t>Session timeout behavior</t>
  </si>
  <si>
    <t>Stay idle on page</t>
  </si>
  <si>
    <t>1. Wait for 30+ mins
2. Refresh or interact</t>
  </si>
  <si>
    <t>Session expires, redirected</t>
  </si>
  <si>
    <t>Redirects to login after timeout</t>
  </si>
  <si>
    <t>CO_018</t>
  </si>
  <si>
    <t>Performance</t>
  </si>
  <si>
    <t>Page loads with slow connection</t>
  </si>
  <si>
    <t>Throttle network</t>
  </si>
  <si>
    <t>1. Load Offering page</t>
  </si>
  <si>
    <t>Page loads with indicator</t>
  </si>
  <si>
    <t>Page loads slowly but remains functional</t>
  </si>
  <si>
    <t>CO_019</t>
  </si>
  <si>
    <t>Data Display</t>
  </si>
  <si>
    <t>Incomplete data (no room assigned)</t>
  </si>
  <si>
    <t>Room not yet assigned</t>
  </si>
  <si>
    <t>1. View schedule column</t>
  </si>
  <si>
    <t>Display “TBA” or blank</t>
  </si>
  <si>
    <t>“TBA” displayed</t>
  </si>
  <si>
    <t>CO_020</t>
  </si>
  <si>
    <t>Time Format</t>
  </si>
  <si>
    <t>Validate time format (12hr/24hr)</t>
  </si>
  <si>
    <t>Table displayed</t>
  </si>
  <si>
    <t>1. Check schedule format</t>
  </si>
  <si>
    <t>All times follow same format</t>
  </si>
  <si>
    <t>12-hour AM/PM format consistent</t>
  </si>
  <si>
    <t>CO_021</t>
  </si>
  <si>
    <t>Responsive Typography</t>
  </si>
  <si>
    <t>Validate responsive font size</t>
  </si>
  <si>
    <t>Resize window</t>
  </si>
  <si>
    <t>1. Observe font scaling</t>
  </si>
  <si>
    <t>Text remains readable</t>
  </si>
  <si>
    <t>Font scales properly</t>
  </si>
  <si>
    <t xml:space="preserve">MODULES </t>
  </si>
  <si>
    <t>TOTAL TC</t>
  </si>
  <si>
    <t>PASSED</t>
  </si>
  <si>
    <t>FAILED</t>
  </si>
  <si>
    <t>BLOCKED</t>
  </si>
  <si>
    <t>DROPPED</t>
  </si>
  <si>
    <t>PENDING</t>
  </si>
  <si>
    <t>TOTAL EXECUTED</t>
  </si>
  <si>
    <t>CONFIDENCE LEVEL</t>
  </si>
  <si>
    <t>EXECUTION COMPLETION</t>
  </si>
  <si>
    <t>COMMENTS</t>
  </si>
  <si>
    <t>Login</t>
  </si>
  <si>
    <t xml:space="preserve">3 cases failed – review authentication logic
</t>
  </si>
  <si>
    <t>Online ACE</t>
  </si>
  <si>
    <t>3 cases failed – verify backend validations</t>
  </si>
  <si>
    <t>Online Petition</t>
  </si>
  <si>
    <t>1 case failed – check submission edge cases</t>
  </si>
  <si>
    <t>Course Offering</t>
  </si>
  <si>
    <t xml:space="preserve">	Executed &gt; planned – possible retests?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</si>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</sst>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2"/>
      <color rgb="FFFFFFFF"/>
      <name val="Arial"/>
    </font>
    <font>
      <sz val="10"/>
      <name val="Arial"/>
    </font>
    <font>
      <sz val="11"/>
      <color theme="1"/>
      <name val="Arial"/>
      <scheme val="minor"/>
    </font>
    <font>
      <sz val="10"/>
      <color theme="1"/>
      <name val="Arial"/>
    </font>
    <font>
      <b/>
      <sz val="12"/>
      <color rgb="FF000000"/>
      <name val="Arial"/>
    </font>
    <font>
      <sz val="10"/>
      <color rgb="FF000000"/>
      <name val="Arial"/>
      <scheme val="minor"/>
    </font>
    <font>
      <sz val="11"/>
      <color rgb="FF000000"/>
      <name val="Calibri"/>
    </font>
    <font>
      <sz val="10"/>
      <color theme="1"/>
      <name val="Arial"/>
      <scheme val="minor"/>
    </font>
    <font>
      <b/>
      <sz val="10"/>
      <color theme="1"/>
      <name val="Arial"/>
      <scheme val="minor"/>
    </font>
    <font>
      <b/>
      <sz val="10"/>
      <color rgb="FFFFFFFF"/>
      <name val="Arial"/>
    </font>
  </fonts>
  <fills count="9">
    <fill>
      <patternFill patternType="none"/>
    </fill>
    <fill>
      <patternFill patternType="gray125"/>
    </fill>
    <fill>
      <patternFill patternType="solid">
        <fgColor rgb="FFDDA15E"/>
        <bgColor rgb="FFDDA15E"/>
      </patternFill>
    </fill>
    <fill>
      <patternFill patternType="solid">
        <fgColor rgb="FFFFFF00"/>
        <bgColor rgb="FFFFFF00"/>
      </patternFill>
    </fill>
    <fill>
      <patternFill patternType="solid">
        <fgColor rgb="FFFF9900"/>
        <bgColor rgb="FFFF9900"/>
      </patternFill>
    </fill>
    <fill>
      <patternFill patternType="solid">
        <fgColor rgb="FFF3F3F3"/>
        <bgColor rgb="FFF3F3F3"/>
      </patternFill>
    </fill>
    <fill>
      <patternFill patternType="solid">
        <fgColor rgb="FFFFFFFF"/>
        <bgColor rgb="FFFFFFFF"/>
      </patternFill>
    </fill>
    <fill>
      <patternFill patternType="solid">
        <fgColor rgb="FF0B5394"/>
        <bgColor rgb="FF0B5394"/>
      </patternFill>
    </fill>
    <fill>
      <patternFill patternType="solid">
        <fgColor rgb="FFF1C232"/>
        <bgColor rgb="FFF1C232"/>
      </patternFill>
    </fill>
  </fills>
  <borders count="6">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3">
    <xf numFmtId="0" fontId="0" fillId="0" borderId="0" xfId="0"/>
    <xf numFmtId="0" fontId="3" fillId="3" borderId="0" xfId="0" applyFont="1" applyFill="1" applyAlignment="1">
      <alignment horizontal="center"/>
    </xf>
    <xf numFmtId="0" fontId="4" fillId="0" borderId="0" xfId="0" applyFont="1"/>
    <xf numFmtId="0" fontId="6" fillId="3" borderId="0" xfId="0" applyFont="1" applyFill="1" applyAlignment="1">
      <alignment horizontal="center"/>
    </xf>
    <xf numFmtId="0" fontId="6" fillId="0" borderId="0" xfId="0" applyFont="1"/>
    <xf numFmtId="0" fontId="7" fillId="0" borderId="3" xfId="0" applyFont="1" applyBorder="1" applyAlignment="1">
      <alignment vertical="top"/>
    </xf>
    <xf numFmtId="0" fontId="7" fillId="0" borderId="2" xfId="0" applyFont="1" applyBorder="1" applyAlignment="1">
      <alignment vertical="top"/>
    </xf>
    <xf numFmtId="0" fontId="7" fillId="0" borderId="4" xfId="0" applyFont="1" applyBorder="1" applyAlignment="1">
      <alignment vertical="top"/>
    </xf>
    <xf numFmtId="0" fontId="7" fillId="0" borderId="5" xfId="0" applyFont="1" applyBorder="1" applyAlignment="1">
      <alignment vertical="top"/>
    </xf>
    <xf numFmtId="0" fontId="7" fillId="0" borderId="5" xfId="0" quotePrefix="1" applyFont="1" applyBorder="1" applyAlignment="1">
      <alignment vertical="top"/>
    </xf>
    <xf numFmtId="0" fontId="7" fillId="0" borderId="4" xfId="0" applyFont="1" applyBorder="1" applyAlignment="1">
      <alignment horizontal="left"/>
    </xf>
    <xf numFmtId="0" fontId="7" fillId="0" borderId="5" xfId="0" applyFont="1" applyBorder="1" applyAlignment="1">
      <alignment horizontal="left"/>
    </xf>
    <xf numFmtId="0" fontId="7" fillId="0" borderId="5" xfId="0" quotePrefix="1" applyFont="1" applyBorder="1" applyAlignment="1">
      <alignment horizontal="left"/>
    </xf>
    <xf numFmtId="0" fontId="8" fillId="3" borderId="0" xfId="0" applyFont="1" applyFill="1" applyAlignment="1">
      <alignment horizontal="center"/>
    </xf>
    <xf numFmtId="0" fontId="8" fillId="5" borderId="0" xfId="0" applyFont="1" applyFill="1" applyAlignment="1">
      <alignment horizontal="center"/>
    </xf>
    <xf numFmtId="0" fontId="8" fillId="0" borderId="0" xfId="0" applyFont="1" applyAlignment="1">
      <alignment horizontal="center"/>
    </xf>
    <xf numFmtId="4" fontId="4" fillId="0" borderId="0" xfId="0" applyNumberFormat="1" applyFont="1"/>
    <xf numFmtId="0" fontId="8" fillId="0" borderId="0" xfId="0" applyFont="1"/>
    <xf numFmtId="0" fontId="9" fillId="3" borderId="0" xfId="0" applyFont="1" applyFill="1" applyAlignment="1">
      <alignment horizontal="center"/>
    </xf>
    <xf numFmtId="0" fontId="9" fillId="6" borderId="0" xfId="0" applyFont="1" applyFill="1" applyAlignment="1">
      <alignment horizontal="center"/>
    </xf>
    <xf numFmtId="0" fontId="8" fillId="6" borderId="0" xfId="0" applyFont="1" applyFill="1"/>
    <xf numFmtId="0" fontId="7" fillId="0" borderId="0" xfId="0" applyFont="1"/>
    <xf numFmtId="0" fontId="10" fillId="7" borderId="0" xfId="0" applyFont="1" applyFill="1" applyAlignment="1">
      <alignment horizontal="center"/>
    </xf>
    <xf numFmtId="0" fontId="4" fillId="8" borderId="0" xfId="0" applyFont="1" applyFill="1"/>
    <xf numFmtId="0" fontId="4" fillId="8" borderId="0" xfId="0" applyFont="1" applyFill="1" applyAlignment="1">
      <alignment horizontal="right"/>
    </xf>
    <xf numFmtId="0" fontId="10" fillId="7" borderId="0" xfId="0" applyFont="1" applyFill="1"/>
    <xf numFmtId="0" fontId="10" fillId="7" borderId="0" xfId="0" applyFont="1" applyFill="1" applyAlignment="1">
      <alignment horizontal="right"/>
    </xf>
    <xf numFmtId="0" fontId="4" fillId="7" borderId="0" xfId="0" applyFont="1" applyFill="1"/>
    <xf numFmtId="0" fontId="1" fillId="2" borderId="1" xfId="0" applyFont="1" applyFill="1" applyBorder="1" applyAlignment="1">
      <alignment horizontal="center" wrapText="1"/>
    </xf>
    <xf numFmtId="0" fontId="2" fillId="0" borderId="1" xfId="0" applyFont="1" applyBorder="1"/>
    <xf numFmtId="0" fontId="2" fillId="0" borderId="2" xfId="0" applyFont="1" applyBorder="1"/>
    <xf numFmtId="0" fontId="5" fillId="2" borderId="1" xfId="0" applyFont="1" applyFill="1" applyBorder="1" applyAlignment="1">
      <alignment horizontal="center" wrapText="1"/>
    </xf>
    <xf numFmtId="0" fontId="5" fillId="4"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2"/>
  <sheetViews>
    <sheetView workbookViewId="0">
      <selection sqref="A1:J1"/>
    </sheetView>
  </sheetViews>
  <sheetFormatPr defaultColWidth="12.5703125" defaultRowHeight="15.75" customHeight="1" x14ac:dyDescent="0.2"/>
  <cols>
    <col min="1" max="1" width="13.28515625" customWidth="1"/>
    <col min="2" max="2" width="33" customWidth="1"/>
    <col min="3" max="3" width="47.42578125" customWidth="1"/>
    <col min="4" max="4" width="46" customWidth="1"/>
    <col min="5" max="5" width="67.5703125" customWidth="1"/>
    <col min="6" max="6" width="90.28515625" customWidth="1"/>
    <col min="7" max="7" width="69.140625" customWidth="1"/>
    <col min="8" max="8" width="6.28515625" customWidth="1"/>
  </cols>
  <sheetData>
    <row r="1" spans="1:10" ht="15.75" customHeight="1" x14ac:dyDescent="0.25">
      <c r="A1" s="28" t="s">
        <v>0</v>
      </c>
      <c r="B1" s="29"/>
      <c r="C1" s="29"/>
      <c r="D1" s="29"/>
      <c r="E1" s="29"/>
      <c r="F1" s="29"/>
      <c r="G1" s="29"/>
      <c r="H1" s="29"/>
      <c r="I1" s="29"/>
      <c r="J1" s="30"/>
    </row>
    <row r="2" spans="1:10" x14ac:dyDescent="0.2">
      <c r="A2" s="1" t="s">
        <v>1</v>
      </c>
      <c r="B2" s="1" t="s">
        <v>2</v>
      </c>
      <c r="C2" s="1" t="s">
        <v>3</v>
      </c>
      <c r="D2" s="1" t="s">
        <v>4</v>
      </c>
      <c r="E2" s="1" t="s">
        <v>5</v>
      </c>
      <c r="F2" s="1" t="s">
        <v>6</v>
      </c>
      <c r="G2" s="1" t="s">
        <v>7</v>
      </c>
      <c r="H2" s="1" t="s">
        <v>8</v>
      </c>
    </row>
    <row r="3" spans="1:10" x14ac:dyDescent="0.2">
      <c r="A3" s="2" t="s">
        <v>9</v>
      </c>
      <c r="B3" s="2" t="s">
        <v>10</v>
      </c>
      <c r="C3" s="2" t="s">
        <v>11</v>
      </c>
      <c r="D3" s="2" t="s">
        <v>12</v>
      </c>
      <c r="E3" s="2" t="s">
        <v>13</v>
      </c>
      <c r="F3" s="2" t="s">
        <v>14</v>
      </c>
      <c r="G3" s="2" t="s">
        <v>14</v>
      </c>
      <c r="H3" s="2" t="s">
        <v>15</v>
      </c>
    </row>
    <row r="4" spans="1:10" x14ac:dyDescent="0.2">
      <c r="A4" s="2" t="s">
        <v>16</v>
      </c>
      <c r="B4" s="2" t="s">
        <v>17</v>
      </c>
      <c r="C4" s="2" t="s">
        <v>18</v>
      </c>
      <c r="D4" s="2" t="s">
        <v>19</v>
      </c>
      <c r="E4" s="2" t="s">
        <v>20</v>
      </c>
      <c r="F4" s="2" t="s">
        <v>21</v>
      </c>
      <c r="G4" s="2" t="s">
        <v>22</v>
      </c>
      <c r="H4" s="2" t="s">
        <v>23</v>
      </c>
    </row>
    <row r="5" spans="1:10" x14ac:dyDescent="0.2">
      <c r="A5" s="2" t="s">
        <v>24</v>
      </c>
      <c r="B5" s="2" t="s">
        <v>25</v>
      </c>
      <c r="C5" s="2" t="s">
        <v>26</v>
      </c>
      <c r="D5" s="2" t="s">
        <v>27</v>
      </c>
      <c r="E5" s="2" t="s">
        <v>28</v>
      </c>
      <c r="F5" s="2" t="s">
        <v>29</v>
      </c>
      <c r="G5" s="2" t="s">
        <v>30</v>
      </c>
      <c r="H5" s="2" t="s">
        <v>15</v>
      </c>
    </row>
    <row r="6" spans="1:10" x14ac:dyDescent="0.2">
      <c r="A6" s="2" t="s">
        <v>31</v>
      </c>
      <c r="B6" s="2" t="s">
        <v>32</v>
      </c>
      <c r="C6" s="2" t="s">
        <v>33</v>
      </c>
      <c r="D6" s="2" t="s">
        <v>27</v>
      </c>
      <c r="E6" s="2" t="s">
        <v>34</v>
      </c>
      <c r="F6" s="2" t="s">
        <v>35</v>
      </c>
      <c r="G6" s="2" t="s">
        <v>36</v>
      </c>
      <c r="H6" s="2" t="s">
        <v>15</v>
      </c>
    </row>
    <row r="7" spans="1:10" x14ac:dyDescent="0.2">
      <c r="A7" s="2" t="s">
        <v>37</v>
      </c>
      <c r="B7" s="2" t="s">
        <v>32</v>
      </c>
      <c r="C7" s="2" t="s">
        <v>38</v>
      </c>
      <c r="D7" s="2" t="s">
        <v>27</v>
      </c>
      <c r="E7" s="2" t="s">
        <v>39</v>
      </c>
      <c r="F7" s="2" t="s">
        <v>40</v>
      </c>
      <c r="G7" s="2" t="s">
        <v>41</v>
      </c>
      <c r="H7" s="2" t="s">
        <v>15</v>
      </c>
    </row>
    <row r="8" spans="1:10" x14ac:dyDescent="0.2">
      <c r="A8" s="2" t="s">
        <v>42</v>
      </c>
      <c r="B8" s="2" t="s">
        <v>32</v>
      </c>
      <c r="C8" s="2" t="s">
        <v>43</v>
      </c>
      <c r="D8" s="2" t="s">
        <v>27</v>
      </c>
      <c r="E8" s="2" t="s">
        <v>44</v>
      </c>
      <c r="F8" s="2" t="s">
        <v>45</v>
      </c>
      <c r="G8" s="2" t="s">
        <v>46</v>
      </c>
      <c r="H8" s="2" t="s">
        <v>15</v>
      </c>
    </row>
    <row r="9" spans="1:10" x14ac:dyDescent="0.2">
      <c r="A9" s="2" t="s">
        <v>47</v>
      </c>
      <c r="B9" s="2" t="s">
        <v>48</v>
      </c>
      <c r="C9" s="2" t="s">
        <v>49</v>
      </c>
      <c r="D9" s="2" t="s">
        <v>27</v>
      </c>
      <c r="E9" s="2" t="s">
        <v>50</v>
      </c>
      <c r="F9" s="2" t="s">
        <v>51</v>
      </c>
      <c r="G9" s="2" t="s">
        <v>52</v>
      </c>
      <c r="H9" s="2" t="s">
        <v>15</v>
      </c>
    </row>
    <row r="10" spans="1:10" x14ac:dyDescent="0.2">
      <c r="A10" s="2" t="s">
        <v>53</v>
      </c>
      <c r="B10" s="2" t="s">
        <v>54</v>
      </c>
      <c r="C10" s="2" t="s">
        <v>55</v>
      </c>
      <c r="D10" s="2" t="s">
        <v>56</v>
      </c>
      <c r="E10" s="2" t="s">
        <v>57</v>
      </c>
      <c r="F10" s="2" t="s">
        <v>58</v>
      </c>
      <c r="G10" s="2" t="s">
        <v>59</v>
      </c>
      <c r="H10" s="2" t="s">
        <v>15</v>
      </c>
    </row>
    <row r="11" spans="1:10" x14ac:dyDescent="0.2">
      <c r="A11" s="2" t="s">
        <v>60</v>
      </c>
      <c r="B11" s="2" t="s">
        <v>61</v>
      </c>
      <c r="C11" s="2" t="s">
        <v>62</v>
      </c>
      <c r="D11" s="2" t="s">
        <v>63</v>
      </c>
      <c r="E11" s="2" t="s">
        <v>64</v>
      </c>
      <c r="F11" s="2" t="s">
        <v>65</v>
      </c>
      <c r="G11" s="2" t="s">
        <v>66</v>
      </c>
      <c r="H11" s="2" t="s">
        <v>15</v>
      </c>
    </row>
    <row r="12" spans="1:10" x14ac:dyDescent="0.2">
      <c r="A12" s="2" t="s">
        <v>67</v>
      </c>
      <c r="B12" s="2" t="s">
        <v>68</v>
      </c>
      <c r="C12" s="2" t="s">
        <v>69</v>
      </c>
      <c r="D12" s="2" t="s">
        <v>27</v>
      </c>
      <c r="E12" s="2" t="s">
        <v>70</v>
      </c>
      <c r="F12" s="2" t="s">
        <v>71</v>
      </c>
      <c r="G12" s="2" t="s">
        <v>72</v>
      </c>
      <c r="H12" s="2" t="s">
        <v>15</v>
      </c>
    </row>
    <row r="13" spans="1:10" x14ac:dyDescent="0.2">
      <c r="A13" s="2" t="s">
        <v>73</v>
      </c>
      <c r="B13" s="2" t="s">
        <v>74</v>
      </c>
      <c r="C13" s="2" t="s">
        <v>75</v>
      </c>
      <c r="D13" s="2" t="s">
        <v>76</v>
      </c>
      <c r="E13" s="2" t="s">
        <v>77</v>
      </c>
      <c r="F13" s="2" t="s">
        <v>78</v>
      </c>
      <c r="G13" s="2" t="s">
        <v>78</v>
      </c>
      <c r="H13" s="2" t="s">
        <v>15</v>
      </c>
    </row>
    <row r="14" spans="1:10" x14ac:dyDescent="0.2">
      <c r="A14" s="2" t="s">
        <v>79</v>
      </c>
      <c r="B14" s="2" t="s">
        <v>32</v>
      </c>
      <c r="C14" s="2" t="s">
        <v>80</v>
      </c>
      <c r="D14" s="2" t="s">
        <v>27</v>
      </c>
      <c r="E14" s="2" t="s">
        <v>81</v>
      </c>
      <c r="F14" s="2" t="s">
        <v>82</v>
      </c>
      <c r="G14" s="2" t="s">
        <v>82</v>
      </c>
      <c r="H14" s="2" t="s">
        <v>15</v>
      </c>
    </row>
    <row r="15" spans="1:10" x14ac:dyDescent="0.2">
      <c r="A15" s="2" t="s">
        <v>83</v>
      </c>
      <c r="B15" s="2" t="s">
        <v>84</v>
      </c>
      <c r="C15" s="2" t="s">
        <v>85</v>
      </c>
      <c r="D15" s="2" t="s">
        <v>86</v>
      </c>
      <c r="E15" s="2" t="s">
        <v>87</v>
      </c>
      <c r="F15" s="2" t="s">
        <v>88</v>
      </c>
      <c r="G15" s="2" t="s">
        <v>89</v>
      </c>
      <c r="H15" s="2" t="s">
        <v>15</v>
      </c>
    </row>
    <row r="16" spans="1:10" x14ac:dyDescent="0.2">
      <c r="A16" s="2" t="s">
        <v>90</v>
      </c>
      <c r="B16" s="2" t="s">
        <v>91</v>
      </c>
      <c r="C16" s="2" t="s">
        <v>92</v>
      </c>
      <c r="D16" s="2" t="s">
        <v>93</v>
      </c>
      <c r="E16" s="2" t="s">
        <v>94</v>
      </c>
      <c r="F16" s="2" t="s">
        <v>95</v>
      </c>
      <c r="G16" s="2" t="s">
        <v>96</v>
      </c>
      <c r="H16" s="2" t="s">
        <v>15</v>
      </c>
    </row>
    <row r="17" spans="1:8" x14ac:dyDescent="0.2">
      <c r="A17" s="2" t="s">
        <v>97</v>
      </c>
      <c r="B17" s="2" t="s">
        <v>98</v>
      </c>
      <c r="C17" s="2" t="s">
        <v>99</v>
      </c>
      <c r="D17" s="2" t="s">
        <v>100</v>
      </c>
      <c r="E17" s="2" t="s">
        <v>101</v>
      </c>
      <c r="F17" s="2" t="s">
        <v>102</v>
      </c>
      <c r="G17" s="2" t="s">
        <v>103</v>
      </c>
      <c r="H17" s="2" t="s">
        <v>15</v>
      </c>
    </row>
    <row r="18" spans="1:8" x14ac:dyDescent="0.2">
      <c r="A18" s="2" t="s">
        <v>104</v>
      </c>
      <c r="B18" s="2" t="s">
        <v>105</v>
      </c>
      <c r="C18" s="2" t="s">
        <v>106</v>
      </c>
      <c r="D18" s="2" t="s">
        <v>27</v>
      </c>
      <c r="E18" s="2" t="s">
        <v>107</v>
      </c>
      <c r="F18" s="2" t="s">
        <v>108</v>
      </c>
      <c r="G18" s="2" t="s">
        <v>109</v>
      </c>
      <c r="H18" s="2" t="s">
        <v>15</v>
      </c>
    </row>
    <row r="19" spans="1:8" x14ac:dyDescent="0.2">
      <c r="A19" s="2" t="s">
        <v>110</v>
      </c>
      <c r="B19" s="2" t="s">
        <v>105</v>
      </c>
      <c r="C19" s="2" t="s">
        <v>111</v>
      </c>
      <c r="D19" s="2" t="s">
        <v>27</v>
      </c>
      <c r="E19" s="2" t="s">
        <v>112</v>
      </c>
      <c r="F19" s="2" t="s">
        <v>113</v>
      </c>
      <c r="G19" s="2" t="s">
        <v>114</v>
      </c>
      <c r="H19" s="2" t="s">
        <v>15</v>
      </c>
    </row>
    <row r="20" spans="1:8" x14ac:dyDescent="0.2">
      <c r="A20" s="2" t="s">
        <v>115</v>
      </c>
      <c r="B20" s="2" t="s">
        <v>116</v>
      </c>
      <c r="C20" s="2" t="s">
        <v>117</v>
      </c>
      <c r="D20" s="2" t="s">
        <v>118</v>
      </c>
      <c r="E20" s="2" t="s">
        <v>119</v>
      </c>
      <c r="F20" s="2" t="s">
        <v>120</v>
      </c>
      <c r="G20" s="2" t="s">
        <v>121</v>
      </c>
      <c r="H20" s="2" t="s">
        <v>23</v>
      </c>
    </row>
    <row r="21" spans="1:8" x14ac:dyDescent="0.2">
      <c r="A21" s="2" t="s">
        <v>122</v>
      </c>
      <c r="B21" s="2" t="s">
        <v>123</v>
      </c>
      <c r="C21" s="2" t="s">
        <v>124</v>
      </c>
      <c r="D21" s="2" t="s">
        <v>125</v>
      </c>
      <c r="E21" s="2" t="s">
        <v>126</v>
      </c>
      <c r="F21" s="2" t="s">
        <v>127</v>
      </c>
      <c r="G21" s="2" t="s">
        <v>128</v>
      </c>
      <c r="H21" s="2" t="s">
        <v>15</v>
      </c>
    </row>
    <row r="22" spans="1:8" x14ac:dyDescent="0.2">
      <c r="A22" s="2" t="s">
        <v>129</v>
      </c>
      <c r="B22" s="2" t="s">
        <v>116</v>
      </c>
      <c r="C22" s="2" t="s">
        <v>130</v>
      </c>
      <c r="D22" s="2" t="s">
        <v>131</v>
      </c>
      <c r="E22" s="2" t="s">
        <v>132</v>
      </c>
      <c r="F22" s="2" t="s">
        <v>133</v>
      </c>
      <c r="G22" s="2" t="s">
        <v>134</v>
      </c>
      <c r="H22" s="2" t="s">
        <v>15</v>
      </c>
    </row>
    <row r="23" spans="1:8" x14ac:dyDescent="0.2">
      <c r="A23" s="2" t="s">
        <v>135</v>
      </c>
      <c r="B23" s="2" t="s">
        <v>136</v>
      </c>
      <c r="C23" s="2" t="s">
        <v>137</v>
      </c>
      <c r="D23" s="2" t="s">
        <v>138</v>
      </c>
      <c r="E23" s="2" t="s">
        <v>139</v>
      </c>
      <c r="F23" s="2" t="s">
        <v>140</v>
      </c>
      <c r="G23" s="2" t="s">
        <v>141</v>
      </c>
      <c r="H23" s="2" t="s">
        <v>15</v>
      </c>
    </row>
    <row r="24" spans="1:8" x14ac:dyDescent="0.2">
      <c r="A24" s="2" t="s">
        <v>142</v>
      </c>
      <c r="B24" s="2" t="s">
        <v>32</v>
      </c>
      <c r="C24" s="2" t="s">
        <v>143</v>
      </c>
      <c r="D24" s="2" t="s">
        <v>27</v>
      </c>
      <c r="E24" s="2" t="s">
        <v>144</v>
      </c>
      <c r="F24" s="2" t="s">
        <v>145</v>
      </c>
      <c r="G24" s="2" t="s">
        <v>146</v>
      </c>
      <c r="H24" s="2" t="s">
        <v>15</v>
      </c>
    </row>
    <row r="25" spans="1:8" x14ac:dyDescent="0.2">
      <c r="A25" s="2" t="s">
        <v>147</v>
      </c>
      <c r="B25" s="2" t="s">
        <v>148</v>
      </c>
      <c r="C25" s="2" t="s">
        <v>149</v>
      </c>
      <c r="D25" s="2" t="s">
        <v>150</v>
      </c>
      <c r="E25" s="2" t="s">
        <v>151</v>
      </c>
      <c r="F25" s="2" t="s">
        <v>152</v>
      </c>
      <c r="G25" s="2" t="s">
        <v>153</v>
      </c>
      <c r="H25" s="2" t="s">
        <v>15</v>
      </c>
    </row>
    <row r="26" spans="1:8" x14ac:dyDescent="0.2">
      <c r="A26" s="2" t="s">
        <v>154</v>
      </c>
      <c r="B26" s="2" t="s">
        <v>155</v>
      </c>
      <c r="C26" s="2" t="s">
        <v>156</v>
      </c>
      <c r="D26" s="2" t="s">
        <v>118</v>
      </c>
      <c r="E26" s="2" t="s">
        <v>157</v>
      </c>
      <c r="F26" s="2" t="s">
        <v>158</v>
      </c>
      <c r="G26" s="2" t="s">
        <v>159</v>
      </c>
      <c r="H26" s="2" t="s">
        <v>15</v>
      </c>
    </row>
    <row r="27" spans="1:8" x14ac:dyDescent="0.2">
      <c r="A27" s="2" t="s">
        <v>160</v>
      </c>
      <c r="B27" s="2" t="s">
        <v>161</v>
      </c>
      <c r="C27" s="2" t="s">
        <v>162</v>
      </c>
      <c r="D27" s="2" t="s">
        <v>163</v>
      </c>
      <c r="E27" s="2" t="s">
        <v>164</v>
      </c>
      <c r="F27" s="2" t="s">
        <v>165</v>
      </c>
      <c r="G27" s="2" t="s">
        <v>166</v>
      </c>
      <c r="H27" s="2" t="s">
        <v>15</v>
      </c>
    </row>
    <row r="28" spans="1:8" x14ac:dyDescent="0.2">
      <c r="A28" s="2" t="s">
        <v>167</v>
      </c>
      <c r="B28" s="2" t="s">
        <v>161</v>
      </c>
      <c r="C28" s="2" t="s">
        <v>168</v>
      </c>
      <c r="D28" s="2" t="s">
        <v>19</v>
      </c>
      <c r="E28" s="2" t="s">
        <v>169</v>
      </c>
      <c r="F28" s="2" t="s">
        <v>170</v>
      </c>
      <c r="G28" s="2" t="s">
        <v>170</v>
      </c>
      <c r="H28" s="2" t="s">
        <v>15</v>
      </c>
    </row>
    <row r="29" spans="1:8" ht="12.75" x14ac:dyDescent="0.2">
      <c r="A29" s="2" t="s">
        <v>171</v>
      </c>
      <c r="B29" s="2" t="s">
        <v>32</v>
      </c>
      <c r="C29" s="2" t="s">
        <v>172</v>
      </c>
      <c r="D29" s="2" t="s">
        <v>27</v>
      </c>
      <c r="E29" s="2" t="s">
        <v>173</v>
      </c>
      <c r="F29" s="2" t="s">
        <v>174</v>
      </c>
      <c r="G29" s="2" t="s">
        <v>175</v>
      </c>
      <c r="H29" s="2" t="s">
        <v>15</v>
      </c>
    </row>
    <row r="30" spans="1:8" ht="12.75" x14ac:dyDescent="0.2">
      <c r="A30" s="2" t="s">
        <v>176</v>
      </c>
      <c r="B30" s="2" t="s">
        <v>177</v>
      </c>
      <c r="C30" s="2" t="s">
        <v>178</v>
      </c>
      <c r="D30" s="2" t="s">
        <v>179</v>
      </c>
      <c r="E30" s="2" t="s">
        <v>180</v>
      </c>
      <c r="F30" s="2" t="s">
        <v>181</v>
      </c>
      <c r="G30" s="2" t="s">
        <v>182</v>
      </c>
      <c r="H30" s="2" t="s">
        <v>15</v>
      </c>
    </row>
    <row r="31" spans="1:8" ht="12.75" x14ac:dyDescent="0.2">
      <c r="A31" s="2" t="s">
        <v>183</v>
      </c>
      <c r="B31" s="2" t="s">
        <v>184</v>
      </c>
      <c r="C31" s="2" t="s">
        <v>185</v>
      </c>
      <c r="D31" s="2" t="s">
        <v>186</v>
      </c>
      <c r="E31" s="2" t="s">
        <v>187</v>
      </c>
      <c r="F31" s="2" t="s">
        <v>188</v>
      </c>
      <c r="G31" s="2" t="s">
        <v>189</v>
      </c>
      <c r="H31" s="2" t="s">
        <v>15</v>
      </c>
    </row>
    <row r="32" spans="1:8" ht="12.75" x14ac:dyDescent="0.2">
      <c r="A32" s="2" t="s">
        <v>190</v>
      </c>
      <c r="B32" s="2" t="s">
        <v>184</v>
      </c>
      <c r="C32" s="2" t="s">
        <v>191</v>
      </c>
      <c r="D32" s="2" t="s">
        <v>192</v>
      </c>
      <c r="E32" s="2" t="s">
        <v>193</v>
      </c>
      <c r="F32" s="2" t="s">
        <v>194</v>
      </c>
      <c r="G32" s="2" t="s">
        <v>195</v>
      </c>
      <c r="H32" s="2" t="s">
        <v>15</v>
      </c>
    </row>
  </sheetData>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52"/>
  <sheetViews>
    <sheetView workbookViewId="0">
      <selection sqref="A1:J1"/>
    </sheetView>
  </sheetViews>
  <sheetFormatPr defaultColWidth="12.5703125" defaultRowHeight="15.75" customHeight="1" x14ac:dyDescent="0.2"/>
  <cols>
    <col min="1" max="1" width="17.85546875" customWidth="1"/>
    <col min="2" max="2" width="18.140625" customWidth="1"/>
    <col min="3" max="3" width="61.140625" customWidth="1"/>
    <col min="4" max="4" width="36.85546875" customWidth="1"/>
    <col min="5" max="5" width="44" customWidth="1"/>
    <col min="6" max="7" width="46" customWidth="1"/>
  </cols>
  <sheetData>
    <row r="1" spans="1:10" ht="15.75" customHeight="1" x14ac:dyDescent="0.25">
      <c r="A1" s="31" t="s">
        <v>196</v>
      </c>
      <c r="B1" s="29"/>
      <c r="C1" s="29"/>
      <c r="D1" s="29"/>
      <c r="E1" s="29"/>
      <c r="F1" s="29"/>
      <c r="G1" s="29"/>
      <c r="H1" s="29"/>
      <c r="I1" s="29"/>
      <c r="J1" s="30"/>
    </row>
    <row r="2" spans="1:10" x14ac:dyDescent="0.2">
      <c r="A2" s="3" t="s">
        <v>1</v>
      </c>
      <c r="B2" s="3" t="s">
        <v>2</v>
      </c>
      <c r="C2" s="3" t="s">
        <v>3</v>
      </c>
      <c r="D2" s="3" t="s">
        <v>4</v>
      </c>
      <c r="E2" s="3" t="s">
        <v>5</v>
      </c>
      <c r="F2" s="3" t="s">
        <v>6</v>
      </c>
      <c r="G2" s="3" t="s">
        <v>7</v>
      </c>
      <c r="H2" s="3" t="s">
        <v>8</v>
      </c>
      <c r="I2" s="4"/>
      <c r="J2" s="4"/>
    </row>
    <row r="3" spans="1:10" x14ac:dyDescent="0.2">
      <c r="A3" s="5" t="s">
        <v>197</v>
      </c>
      <c r="B3" s="6" t="s">
        <v>198</v>
      </c>
      <c r="C3" s="6" t="s">
        <v>199</v>
      </c>
      <c r="D3" s="6" t="s">
        <v>200</v>
      </c>
      <c r="E3" s="6" t="s">
        <v>201</v>
      </c>
      <c r="F3" s="6" t="s">
        <v>202</v>
      </c>
      <c r="G3" s="6" t="s">
        <v>203</v>
      </c>
      <c r="H3" s="6" t="s">
        <v>23</v>
      </c>
    </row>
    <row r="4" spans="1:10" x14ac:dyDescent="0.2">
      <c r="A4" s="7" t="s">
        <v>204</v>
      </c>
      <c r="B4" s="8" t="s">
        <v>205</v>
      </c>
      <c r="C4" s="8" t="s">
        <v>206</v>
      </c>
      <c r="D4" s="8" t="s">
        <v>118</v>
      </c>
      <c r="E4" s="8" t="s">
        <v>207</v>
      </c>
      <c r="F4" s="8" t="s">
        <v>208</v>
      </c>
      <c r="G4" s="8" t="s">
        <v>208</v>
      </c>
      <c r="H4" s="8" t="s">
        <v>15</v>
      </c>
    </row>
    <row r="5" spans="1:10" x14ac:dyDescent="0.2">
      <c r="A5" s="7" t="s">
        <v>209</v>
      </c>
      <c r="B5" s="8" t="s">
        <v>205</v>
      </c>
      <c r="C5" s="8" t="s">
        <v>210</v>
      </c>
      <c r="D5" s="8" t="s">
        <v>211</v>
      </c>
      <c r="E5" s="8" t="s">
        <v>212</v>
      </c>
      <c r="F5" s="8" t="s">
        <v>213</v>
      </c>
      <c r="G5" s="8" t="s">
        <v>213</v>
      </c>
      <c r="H5" s="8" t="s">
        <v>15</v>
      </c>
    </row>
    <row r="6" spans="1:10" x14ac:dyDescent="0.2">
      <c r="A6" s="7" t="s">
        <v>214</v>
      </c>
      <c r="B6" s="8" t="s">
        <v>205</v>
      </c>
      <c r="C6" s="8" t="s">
        <v>215</v>
      </c>
      <c r="D6" s="8" t="s">
        <v>216</v>
      </c>
      <c r="E6" s="8" t="s">
        <v>217</v>
      </c>
      <c r="F6" s="8" t="s">
        <v>218</v>
      </c>
      <c r="G6" s="8" t="s">
        <v>218</v>
      </c>
      <c r="H6" s="8" t="s">
        <v>15</v>
      </c>
    </row>
    <row r="7" spans="1:10" x14ac:dyDescent="0.2">
      <c r="A7" s="7" t="s">
        <v>219</v>
      </c>
      <c r="B7" s="8" t="s">
        <v>205</v>
      </c>
      <c r="C7" s="8" t="s">
        <v>220</v>
      </c>
      <c r="D7" s="8" t="s">
        <v>221</v>
      </c>
      <c r="E7" s="8" t="s">
        <v>222</v>
      </c>
      <c r="F7" s="8" t="s">
        <v>223</v>
      </c>
      <c r="G7" s="8" t="s">
        <v>223</v>
      </c>
      <c r="H7" s="8" t="s">
        <v>15</v>
      </c>
    </row>
    <row r="8" spans="1:10" x14ac:dyDescent="0.2">
      <c r="A8" s="7" t="s">
        <v>224</v>
      </c>
      <c r="B8" s="8" t="s">
        <v>205</v>
      </c>
      <c r="C8" s="8" t="s">
        <v>225</v>
      </c>
      <c r="D8" s="8" t="s">
        <v>226</v>
      </c>
      <c r="E8" s="8" t="s">
        <v>227</v>
      </c>
      <c r="F8" s="8" t="s">
        <v>228</v>
      </c>
      <c r="G8" s="8" t="s">
        <v>228</v>
      </c>
      <c r="H8" s="8" t="s">
        <v>15</v>
      </c>
    </row>
    <row r="9" spans="1:10" x14ac:dyDescent="0.2">
      <c r="A9" s="7" t="s">
        <v>229</v>
      </c>
      <c r="B9" s="8" t="s">
        <v>205</v>
      </c>
      <c r="C9" s="8" t="s">
        <v>230</v>
      </c>
      <c r="D9" s="8" t="s">
        <v>211</v>
      </c>
      <c r="E9" s="8" t="s">
        <v>231</v>
      </c>
      <c r="F9" s="8" t="s">
        <v>232</v>
      </c>
      <c r="G9" s="8" t="s">
        <v>232</v>
      </c>
      <c r="H9" s="8" t="s">
        <v>15</v>
      </c>
    </row>
    <row r="10" spans="1:10" x14ac:dyDescent="0.2">
      <c r="A10" s="7" t="s">
        <v>233</v>
      </c>
      <c r="B10" s="8" t="s">
        <v>205</v>
      </c>
      <c r="C10" s="8" t="s">
        <v>234</v>
      </c>
      <c r="D10" s="8" t="s">
        <v>235</v>
      </c>
      <c r="E10" s="8" t="s">
        <v>235</v>
      </c>
      <c r="F10" s="8" t="s">
        <v>236</v>
      </c>
      <c r="G10" s="8" t="s">
        <v>236</v>
      </c>
      <c r="H10" s="8" t="s">
        <v>15</v>
      </c>
    </row>
    <row r="11" spans="1:10" x14ac:dyDescent="0.2">
      <c r="A11" s="7" t="s">
        <v>237</v>
      </c>
      <c r="B11" s="8" t="s">
        <v>205</v>
      </c>
      <c r="C11" s="8" t="s">
        <v>238</v>
      </c>
      <c r="D11" s="8" t="s">
        <v>239</v>
      </c>
      <c r="E11" s="8" t="s">
        <v>239</v>
      </c>
      <c r="F11" s="8" t="s">
        <v>240</v>
      </c>
      <c r="G11" s="8" t="s">
        <v>240</v>
      </c>
      <c r="H11" s="8" t="s">
        <v>15</v>
      </c>
    </row>
    <row r="12" spans="1:10" x14ac:dyDescent="0.2">
      <c r="A12" s="7" t="s">
        <v>241</v>
      </c>
      <c r="B12" s="8" t="s">
        <v>205</v>
      </c>
      <c r="C12" s="8" t="s">
        <v>242</v>
      </c>
      <c r="D12" s="8" t="s">
        <v>243</v>
      </c>
      <c r="E12" s="8" t="s">
        <v>243</v>
      </c>
      <c r="F12" s="8" t="s">
        <v>244</v>
      </c>
      <c r="G12" s="8" t="s">
        <v>244</v>
      </c>
      <c r="H12" s="8" t="s">
        <v>15</v>
      </c>
    </row>
    <row r="13" spans="1:10" x14ac:dyDescent="0.2">
      <c r="A13" s="7" t="s">
        <v>245</v>
      </c>
      <c r="B13" s="8" t="s">
        <v>205</v>
      </c>
      <c r="C13" s="8" t="s">
        <v>246</v>
      </c>
      <c r="D13" s="8" t="s">
        <v>247</v>
      </c>
      <c r="E13" s="8" t="s">
        <v>248</v>
      </c>
      <c r="F13" s="8" t="s">
        <v>249</v>
      </c>
      <c r="G13" s="8" t="s">
        <v>249</v>
      </c>
      <c r="H13" s="8" t="s">
        <v>15</v>
      </c>
    </row>
    <row r="14" spans="1:10" x14ac:dyDescent="0.2">
      <c r="A14" s="7" t="s">
        <v>250</v>
      </c>
      <c r="B14" s="8" t="s">
        <v>205</v>
      </c>
      <c r="C14" s="8" t="s">
        <v>251</v>
      </c>
      <c r="D14" s="8" t="s">
        <v>252</v>
      </c>
      <c r="E14" s="8" t="s">
        <v>253</v>
      </c>
      <c r="F14" s="8" t="s">
        <v>254</v>
      </c>
      <c r="G14" s="8" t="s">
        <v>254</v>
      </c>
      <c r="H14" s="8" t="s">
        <v>15</v>
      </c>
    </row>
    <row r="15" spans="1:10" x14ac:dyDescent="0.2">
      <c r="A15" s="7" t="s">
        <v>255</v>
      </c>
      <c r="B15" s="8" t="s">
        <v>205</v>
      </c>
      <c r="C15" s="8" t="s">
        <v>256</v>
      </c>
      <c r="D15" s="8" t="s">
        <v>257</v>
      </c>
      <c r="E15" s="8" t="s">
        <v>258</v>
      </c>
      <c r="F15" s="8" t="s">
        <v>259</v>
      </c>
      <c r="G15" s="8" t="s">
        <v>259</v>
      </c>
      <c r="H15" s="8" t="s">
        <v>15</v>
      </c>
    </row>
    <row r="16" spans="1:10" x14ac:dyDescent="0.2">
      <c r="A16" s="7" t="s">
        <v>260</v>
      </c>
      <c r="B16" s="8" t="s">
        <v>205</v>
      </c>
      <c r="C16" s="8" t="s">
        <v>261</v>
      </c>
      <c r="D16" s="8" t="s">
        <v>262</v>
      </c>
      <c r="E16" s="8" t="s">
        <v>263</v>
      </c>
      <c r="F16" s="8" t="s">
        <v>264</v>
      </c>
      <c r="G16" s="8" t="s">
        <v>264</v>
      </c>
      <c r="H16" s="8" t="s">
        <v>15</v>
      </c>
    </row>
    <row r="17" spans="1:8" x14ac:dyDescent="0.2">
      <c r="A17" s="7" t="s">
        <v>265</v>
      </c>
      <c r="B17" s="8" t="s">
        <v>266</v>
      </c>
      <c r="C17" s="8" t="s">
        <v>267</v>
      </c>
      <c r="D17" s="8" t="s">
        <v>268</v>
      </c>
      <c r="E17" s="8" t="s">
        <v>269</v>
      </c>
      <c r="F17" s="8" t="s">
        <v>270</v>
      </c>
      <c r="G17" s="8" t="s">
        <v>270</v>
      </c>
      <c r="H17" s="8" t="s">
        <v>15</v>
      </c>
    </row>
    <row r="18" spans="1:8" x14ac:dyDescent="0.2">
      <c r="A18" s="7" t="s">
        <v>271</v>
      </c>
      <c r="B18" s="8" t="s">
        <v>266</v>
      </c>
      <c r="C18" s="8" t="s">
        <v>272</v>
      </c>
      <c r="D18" s="8" t="s">
        <v>273</v>
      </c>
      <c r="E18" s="8" t="s">
        <v>274</v>
      </c>
      <c r="F18" s="8" t="s">
        <v>274</v>
      </c>
      <c r="G18" s="8" t="s">
        <v>274</v>
      </c>
      <c r="H18" s="8" t="s">
        <v>15</v>
      </c>
    </row>
    <row r="19" spans="1:8" x14ac:dyDescent="0.2">
      <c r="A19" s="7" t="s">
        <v>275</v>
      </c>
      <c r="B19" s="8" t="s">
        <v>266</v>
      </c>
      <c r="C19" s="8" t="s">
        <v>276</v>
      </c>
      <c r="D19" s="8" t="s">
        <v>268</v>
      </c>
      <c r="E19" s="8" t="s">
        <v>277</v>
      </c>
      <c r="F19" s="8" t="s">
        <v>278</v>
      </c>
      <c r="G19" s="8" t="s">
        <v>278</v>
      </c>
      <c r="H19" s="8" t="s">
        <v>15</v>
      </c>
    </row>
    <row r="20" spans="1:8" x14ac:dyDescent="0.2">
      <c r="A20" s="7" t="s">
        <v>279</v>
      </c>
      <c r="B20" s="8" t="s">
        <v>266</v>
      </c>
      <c r="C20" s="8" t="s">
        <v>280</v>
      </c>
      <c r="D20" s="8" t="s">
        <v>281</v>
      </c>
      <c r="E20" s="8" t="s">
        <v>282</v>
      </c>
      <c r="F20" s="8" t="s">
        <v>283</v>
      </c>
      <c r="G20" s="8" t="s">
        <v>283</v>
      </c>
      <c r="H20" s="8" t="s">
        <v>15</v>
      </c>
    </row>
    <row r="21" spans="1:8" x14ac:dyDescent="0.2">
      <c r="A21" s="7" t="s">
        <v>284</v>
      </c>
      <c r="B21" s="8" t="s">
        <v>266</v>
      </c>
      <c r="C21" s="8" t="s">
        <v>285</v>
      </c>
      <c r="D21" s="8" t="s">
        <v>286</v>
      </c>
      <c r="E21" s="8" t="s">
        <v>287</v>
      </c>
      <c r="F21" s="8" t="s">
        <v>287</v>
      </c>
      <c r="G21" s="8" t="s">
        <v>287</v>
      </c>
      <c r="H21" s="8" t="s">
        <v>15</v>
      </c>
    </row>
    <row r="22" spans="1:8" x14ac:dyDescent="0.2">
      <c r="A22" s="7" t="s">
        <v>288</v>
      </c>
      <c r="B22" s="8" t="s">
        <v>266</v>
      </c>
      <c r="C22" s="8" t="s">
        <v>289</v>
      </c>
      <c r="D22" s="8" t="s">
        <v>290</v>
      </c>
      <c r="E22" s="8" t="s">
        <v>291</v>
      </c>
      <c r="F22" s="8" t="s">
        <v>292</v>
      </c>
      <c r="G22" s="8" t="s">
        <v>292</v>
      </c>
      <c r="H22" s="8" t="s">
        <v>15</v>
      </c>
    </row>
    <row r="23" spans="1:8" x14ac:dyDescent="0.2">
      <c r="A23" s="7" t="s">
        <v>293</v>
      </c>
      <c r="B23" s="8" t="s">
        <v>266</v>
      </c>
      <c r="C23" s="8" t="s">
        <v>294</v>
      </c>
      <c r="D23" s="8" t="s">
        <v>295</v>
      </c>
      <c r="E23" s="8" t="s">
        <v>296</v>
      </c>
      <c r="F23" s="8" t="s">
        <v>297</v>
      </c>
      <c r="G23" s="8" t="s">
        <v>297</v>
      </c>
      <c r="H23" s="8" t="s">
        <v>15</v>
      </c>
    </row>
    <row r="24" spans="1:8" x14ac:dyDescent="0.2">
      <c r="A24" s="7" t="s">
        <v>298</v>
      </c>
      <c r="B24" s="8" t="s">
        <v>266</v>
      </c>
      <c r="C24" s="8" t="s">
        <v>299</v>
      </c>
      <c r="D24" s="8" t="s">
        <v>300</v>
      </c>
      <c r="E24" s="8" t="s">
        <v>301</v>
      </c>
      <c r="F24" s="8" t="s">
        <v>302</v>
      </c>
      <c r="G24" s="8" t="s">
        <v>302</v>
      </c>
      <c r="H24" s="8" t="s">
        <v>15</v>
      </c>
    </row>
    <row r="25" spans="1:8" x14ac:dyDescent="0.2">
      <c r="A25" s="7" t="s">
        <v>303</v>
      </c>
      <c r="B25" s="8" t="s">
        <v>266</v>
      </c>
      <c r="C25" s="8" t="s">
        <v>304</v>
      </c>
      <c r="D25" s="8" t="s">
        <v>290</v>
      </c>
      <c r="E25" s="8" t="s">
        <v>305</v>
      </c>
      <c r="F25" s="8" t="s">
        <v>306</v>
      </c>
      <c r="G25" s="8" t="s">
        <v>306</v>
      </c>
      <c r="H25" s="8" t="s">
        <v>15</v>
      </c>
    </row>
    <row r="26" spans="1:8" x14ac:dyDescent="0.2">
      <c r="A26" s="7" t="s">
        <v>307</v>
      </c>
      <c r="B26" s="8" t="s">
        <v>266</v>
      </c>
      <c r="C26" s="8" t="s">
        <v>308</v>
      </c>
      <c r="D26" s="8" t="s">
        <v>309</v>
      </c>
      <c r="E26" s="8" t="s">
        <v>310</v>
      </c>
      <c r="F26" s="8" t="s">
        <v>311</v>
      </c>
      <c r="G26" s="8" t="s">
        <v>311</v>
      </c>
      <c r="H26" s="8" t="s">
        <v>15</v>
      </c>
    </row>
    <row r="27" spans="1:8" x14ac:dyDescent="0.2">
      <c r="A27" s="7" t="s">
        <v>312</v>
      </c>
      <c r="B27" s="8" t="s">
        <v>266</v>
      </c>
      <c r="C27" s="8" t="s">
        <v>313</v>
      </c>
      <c r="D27" s="8" t="s">
        <v>314</v>
      </c>
      <c r="E27" s="8" t="s">
        <v>315</v>
      </c>
      <c r="F27" s="8" t="s">
        <v>316</v>
      </c>
      <c r="G27" s="8" t="s">
        <v>316</v>
      </c>
      <c r="H27" s="8" t="s">
        <v>15</v>
      </c>
    </row>
    <row r="28" spans="1:8" x14ac:dyDescent="0.2">
      <c r="A28" s="7" t="s">
        <v>317</v>
      </c>
      <c r="B28" s="8" t="s">
        <v>318</v>
      </c>
      <c r="C28" s="8" t="s">
        <v>319</v>
      </c>
      <c r="D28" s="8" t="s">
        <v>320</v>
      </c>
      <c r="E28" s="8" t="s">
        <v>321</v>
      </c>
      <c r="F28" s="9" t="s">
        <v>322</v>
      </c>
      <c r="G28" s="8" t="s">
        <v>323</v>
      </c>
      <c r="H28" s="8" t="s">
        <v>15</v>
      </c>
    </row>
    <row r="29" spans="1:8" ht="15" x14ac:dyDescent="0.2">
      <c r="A29" s="7" t="s">
        <v>324</v>
      </c>
      <c r="B29" s="8" t="s">
        <v>318</v>
      </c>
      <c r="C29" s="8" t="s">
        <v>325</v>
      </c>
      <c r="D29" s="8" t="s">
        <v>326</v>
      </c>
      <c r="E29" s="8" t="s">
        <v>327</v>
      </c>
      <c r="F29" s="9" t="s">
        <v>328</v>
      </c>
      <c r="G29" s="8" t="s">
        <v>329</v>
      </c>
      <c r="H29" s="8" t="s">
        <v>15</v>
      </c>
    </row>
    <row r="30" spans="1:8" ht="15" x14ac:dyDescent="0.2">
      <c r="A30" s="7" t="s">
        <v>330</v>
      </c>
      <c r="B30" s="8" t="s">
        <v>318</v>
      </c>
      <c r="C30" s="8" t="s">
        <v>331</v>
      </c>
      <c r="D30" s="8" t="s">
        <v>332</v>
      </c>
      <c r="E30" s="8" t="s">
        <v>333</v>
      </c>
      <c r="F30" s="8" t="s">
        <v>334</v>
      </c>
      <c r="G30" s="8" t="s">
        <v>335</v>
      </c>
      <c r="H30" s="8" t="s">
        <v>15</v>
      </c>
    </row>
    <row r="31" spans="1:8" ht="15" x14ac:dyDescent="0.2">
      <c r="A31" s="7" t="s">
        <v>336</v>
      </c>
      <c r="B31" s="8" t="s">
        <v>318</v>
      </c>
      <c r="C31" s="8" t="s">
        <v>337</v>
      </c>
      <c r="D31" s="8" t="s">
        <v>338</v>
      </c>
      <c r="E31" s="8" t="s">
        <v>339</v>
      </c>
      <c r="F31" s="8" t="s">
        <v>340</v>
      </c>
      <c r="G31" s="8" t="s">
        <v>341</v>
      </c>
      <c r="H31" s="8" t="s">
        <v>15</v>
      </c>
    </row>
    <row r="32" spans="1:8" ht="15" x14ac:dyDescent="0.2">
      <c r="A32" s="7" t="s">
        <v>342</v>
      </c>
      <c r="B32" s="8" t="s">
        <v>318</v>
      </c>
      <c r="C32" s="8" t="s">
        <v>343</v>
      </c>
      <c r="D32" s="8" t="s">
        <v>344</v>
      </c>
      <c r="E32" s="8" t="s">
        <v>345</v>
      </c>
      <c r="F32" s="8" t="s">
        <v>346</v>
      </c>
      <c r="G32" s="8" t="s">
        <v>347</v>
      </c>
      <c r="H32" s="8" t="s">
        <v>15</v>
      </c>
    </row>
    <row r="33" spans="1:8" ht="15" x14ac:dyDescent="0.2">
      <c r="A33" s="7" t="s">
        <v>348</v>
      </c>
      <c r="B33" s="8" t="s">
        <v>318</v>
      </c>
      <c r="C33" s="8" t="s">
        <v>349</v>
      </c>
      <c r="D33" s="8" t="s">
        <v>344</v>
      </c>
      <c r="E33" s="8" t="s">
        <v>350</v>
      </c>
      <c r="F33" s="8" t="s">
        <v>351</v>
      </c>
      <c r="G33" s="8" t="s">
        <v>347</v>
      </c>
      <c r="H33" s="8" t="s">
        <v>15</v>
      </c>
    </row>
    <row r="34" spans="1:8" ht="15" x14ac:dyDescent="0.2">
      <c r="A34" s="7" t="s">
        <v>352</v>
      </c>
      <c r="B34" s="8" t="s">
        <v>318</v>
      </c>
      <c r="C34" s="8" t="s">
        <v>353</v>
      </c>
      <c r="D34" s="8" t="s">
        <v>344</v>
      </c>
      <c r="E34" s="8" t="s">
        <v>354</v>
      </c>
      <c r="F34" s="8" t="s">
        <v>355</v>
      </c>
      <c r="G34" s="8" t="s">
        <v>347</v>
      </c>
      <c r="H34" s="8" t="s">
        <v>15</v>
      </c>
    </row>
    <row r="35" spans="1:8" ht="15" x14ac:dyDescent="0.2">
      <c r="A35" s="7" t="s">
        <v>356</v>
      </c>
      <c r="B35" s="8" t="s">
        <v>318</v>
      </c>
      <c r="C35" s="8" t="s">
        <v>357</v>
      </c>
      <c r="D35" s="8" t="s">
        <v>358</v>
      </c>
      <c r="E35" s="8" t="s">
        <v>359</v>
      </c>
      <c r="F35" s="8" t="s">
        <v>360</v>
      </c>
      <c r="G35" s="8" t="s">
        <v>361</v>
      </c>
      <c r="H35" s="8" t="s">
        <v>15</v>
      </c>
    </row>
    <row r="36" spans="1:8" ht="15" x14ac:dyDescent="0.2">
      <c r="A36" s="7" t="s">
        <v>362</v>
      </c>
      <c r="B36" s="8" t="s">
        <v>318</v>
      </c>
      <c r="C36" s="8" t="s">
        <v>363</v>
      </c>
      <c r="D36" s="8" t="s">
        <v>364</v>
      </c>
      <c r="E36" s="8" t="s">
        <v>365</v>
      </c>
      <c r="F36" s="8" t="s">
        <v>366</v>
      </c>
      <c r="G36" s="8" t="s">
        <v>367</v>
      </c>
      <c r="H36" s="8" t="s">
        <v>15</v>
      </c>
    </row>
    <row r="37" spans="1:8" ht="15" x14ac:dyDescent="0.25">
      <c r="A37" s="10" t="s">
        <v>368</v>
      </c>
      <c r="B37" s="11" t="s">
        <v>369</v>
      </c>
      <c r="C37" s="11" t="s">
        <v>370</v>
      </c>
      <c r="D37" s="11" t="s">
        <v>371</v>
      </c>
      <c r="E37" s="11" t="s">
        <v>372</v>
      </c>
      <c r="F37" s="12" t="s">
        <v>373</v>
      </c>
      <c r="G37" s="11" t="s">
        <v>374</v>
      </c>
      <c r="H37" s="11" t="s">
        <v>15</v>
      </c>
    </row>
    <row r="38" spans="1:8" ht="15" x14ac:dyDescent="0.25">
      <c r="A38" s="10" t="s">
        <v>375</v>
      </c>
      <c r="B38" s="11" t="s">
        <v>369</v>
      </c>
      <c r="C38" s="11" t="s">
        <v>376</v>
      </c>
      <c r="D38" s="11" t="s">
        <v>371</v>
      </c>
      <c r="E38" s="11" t="s">
        <v>377</v>
      </c>
      <c r="F38" s="12" t="s">
        <v>378</v>
      </c>
      <c r="G38" s="11" t="s">
        <v>374</v>
      </c>
      <c r="H38" s="11" t="s">
        <v>15</v>
      </c>
    </row>
    <row r="39" spans="1:8" ht="15" x14ac:dyDescent="0.25">
      <c r="A39" s="10" t="s">
        <v>379</v>
      </c>
      <c r="B39" s="11" t="s">
        <v>369</v>
      </c>
      <c r="C39" s="11" t="s">
        <v>380</v>
      </c>
      <c r="D39" s="11" t="s">
        <v>381</v>
      </c>
      <c r="E39" s="11" t="s">
        <v>382</v>
      </c>
      <c r="F39" s="11" t="s">
        <v>383</v>
      </c>
      <c r="G39" s="11" t="s">
        <v>384</v>
      </c>
      <c r="H39" s="11" t="s">
        <v>15</v>
      </c>
    </row>
    <row r="40" spans="1:8" ht="15" x14ac:dyDescent="0.25">
      <c r="A40" s="10" t="s">
        <v>385</v>
      </c>
      <c r="B40" s="11" t="s">
        <v>369</v>
      </c>
      <c r="C40" s="11" t="s">
        <v>386</v>
      </c>
      <c r="D40" s="11" t="s">
        <v>381</v>
      </c>
      <c r="E40" s="11" t="s">
        <v>387</v>
      </c>
      <c r="F40" s="11" t="s">
        <v>388</v>
      </c>
      <c r="G40" s="11" t="s">
        <v>389</v>
      </c>
      <c r="H40" s="11" t="s">
        <v>15</v>
      </c>
    </row>
    <row r="41" spans="1:8" ht="15" x14ac:dyDescent="0.25">
      <c r="A41" s="10" t="s">
        <v>390</v>
      </c>
      <c r="B41" s="11" t="s">
        <v>369</v>
      </c>
      <c r="C41" s="11" t="s">
        <v>391</v>
      </c>
      <c r="D41" s="11" t="s">
        <v>371</v>
      </c>
      <c r="E41" s="11" t="s">
        <v>392</v>
      </c>
      <c r="F41" s="11" t="s">
        <v>393</v>
      </c>
      <c r="G41" s="11" t="s">
        <v>394</v>
      </c>
      <c r="H41" s="11" t="s">
        <v>15</v>
      </c>
    </row>
    <row r="42" spans="1:8" ht="15" x14ac:dyDescent="0.25">
      <c r="A42" s="10" t="s">
        <v>395</v>
      </c>
      <c r="B42" s="11" t="s">
        <v>369</v>
      </c>
      <c r="C42" s="11" t="s">
        <v>396</v>
      </c>
      <c r="D42" s="11" t="s">
        <v>371</v>
      </c>
      <c r="E42" s="11" t="s">
        <v>397</v>
      </c>
      <c r="F42" s="11" t="s">
        <v>398</v>
      </c>
      <c r="G42" s="11" t="s">
        <v>399</v>
      </c>
      <c r="H42" s="11" t="s">
        <v>15</v>
      </c>
    </row>
    <row r="43" spans="1:8" ht="15" x14ac:dyDescent="0.25">
      <c r="A43" s="10" t="s">
        <v>400</v>
      </c>
      <c r="B43" s="11" t="s">
        <v>369</v>
      </c>
      <c r="C43" s="11" t="s">
        <v>401</v>
      </c>
      <c r="D43" s="11" t="s">
        <v>371</v>
      </c>
      <c r="E43" s="11" t="s">
        <v>402</v>
      </c>
      <c r="F43" s="11" t="s">
        <v>403</v>
      </c>
      <c r="G43" s="11" t="s">
        <v>399</v>
      </c>
      <c r="H43" s="11" t="s">
        <v>15</v>
      </c>
    </row>
    <row r="44" spans="1:8" ht="15" x14ac:dyDescent="0.25">
      <c r="A44" s="10" t="s">
        <v>404</v>
      </c>
      <c r="B44" s="11" t="s">
        <v>369</v>
      </c>
      <c r="C44" s="11" t="s">
        <v>405</v>
      </c>
      <c r="D44" s="11" t="s">
        <v>371</v>
      </c>
      <c r="E44" s="11" t="s">
        <v>406</v>
      </c>
      <c r="F44" s="11" t="s">
        <v>407</v>
      </c>
      <c r="G44" s="11" t="s">
        <v>408</v>
      </c>
      <c r="H44" s="11" t="s">
        <v>15</v>
      </c>
    </row>
    <row r="45" spans="1:8" ht="15" x14ac:dyDescent="0.25">
      <c r="A45" s="10" t="s">
        <v>409</v>
      </c>
      <c r="B45" s="11" t="s">
        <v>369</v>
      </c>
      <c r="C45" s="11" t="s">
        <v>410</v>
      </c>
      <c r="D45" s="11" t="s">
        <v>371</v>
      </c>
      <c r="E45" s="11" t="s">
        <v>411</v>
      </c>
      <c r="F45" s="11" t="s">
        <v>412</v>
      </c>
      <c r="G45" s="11" t="s">
        <v>413</v>
      </c>
      <c r="H45" s="11" t="s">
        <v>15</v>
      </c>
    </row>
    <row r="46" spans="1:8" ht="15" x14ac:dyDescent="0.25">
      <c r="A46" s="10" t="s">
        <v>414</v>
      </c>
      <c r="B46" s="11" t="s">
        <v>369</v>
      </c>
      <c r="C46" s="11" t="s">
        <v>415</v>
      </c>
      <c r="D46" s="11" t="s">
        <v>371</v>
      </c>
      <c r="E46" s="11" t="s">
        <v>416</v>
      </c>
      <c r="F46" s="11" t="s">
        <v>417</v>
      </c>
      <c r="G46" s="11" t="s">
        <v>418</v>
      </c>
      <c r="H46" s="11" t="s">
        <v>15</v>
      </c>
    </row>
    <row r="47" spans="1:8" ht="15" x14ac:dyDescent="0.2">
      <c r="A47" s="7" t="s">
        <v>419</v>
      </c>
      <c r="B47" s="8" t="s">
        <v>420</v>
      </c>
      <c r="C47" s="8" t="s">
        <v>421</v>
      </c>
      <c r="D47" s="8" t="s">
        <v>422</v>
      </c>
      <c r="E47" s="8" t="s">
        <v>423</v>
      </c>
      <c r="F47" s="8" t="s">
        <v>424</v>
      </c>
      <c r="G47" s="8" t="s">
        <v>424</v>
      </c>
      <c r="H47" s="8" t="s">
        <v>15</v>
      </c>
    </row>
    <row r="48" spans="1:8" ht="15" x14ac:dyDescent="0.2">
      <c r="A48" s="7" t="s">
        <v>425</v>
      </c>
      <c r="B48" s="8" t="s">
        <v>420</v>
      </c>
      <c r="C48" s="8" t="s">
        <v>426</v>
      </c>
      <c r="D48" s="8" t="s">
        <v>427</v>
      </c>
      <c r="E48" s="8" t="s">
        <v>428</v>
      </c>
      <c r="F48" s="9" t="s">
        <v>429</v>
      </c>
      <c r="G48" s="9" t="s">
        <v>429</v>
      </c>
      <c r="H48" s="8" t="s">
        <v>23</v>
      </c>
    </row>
    <row r="49" spans="1:8" ht="15" x14ac:dyDescent="0.2">
      <c r="A49" s="7" t="s">
        <v>430</v>
      </c>
      <c r="B49" s="8" t="s">
        <v>420</v>
      </c>
      <c r="C49" s="8" t="s">
        <v>431</v>
      </c>
      <c r="D49" s="8" t="s">
        <v>432</v>
      </c>
      <c r="E49" s="8" t="s">
        <v>433</v>
      </c>
      <c r="F49" s="8" t="s">
        <v>434</v>
      </c>
      <c r="G49" s="8" t="s">
        <v>434</v>
      </c>
      <c r="H49" s="8" t="s">
        <v>15</v>
      </c>
    </row>
    <row r="50" spans="1:8" ht="15" x14ac:dyDescent="0.2">
      <c r="A50" s="7" t="s">
        <v>435</v>
      </c>
      <c r="B50" s="8" t="s">
        <v>420</v>
      </c>
      <c r="C50" s="8" t="s">
        <v>436</v>
      </c>
      <c r="D50" s="8" t="s">
        <v>437</v>
      </c>
      <c r="E50" s="8" t="s">
        <v>438</v>
      </c>
      <c r="F50" s="8" t="s">
        <v>439</v>
      </c>
      <c r="G50" s="8" t="s">
        <v>439</v>
      </c>
      <c r="H50" s="8" t="s">
        <v>15</v>
      </c>
    </row>
    <row r="51" spans="1:8" ht="15" x14ac:dyDescent="0.2">
      <c r="A51" s="7" t="s">
        <v>440</v>
      </c>
      <c r="B51" s="8" t="s">
        <v>420</v>
      </c>
      <c r="C51" s="8" t="s">
        <v>441</v>
      </c>
      <c r="D51" s="8" t="s">
        <v>442</v>
      </c>
      <c r="E51" s="8" t="s">
        <v>443</v>
      </c>
      <c r="F51" s="8" t="s">
        <v>444</v>
      </c>
      <c r="G51" s="8" t="s">
        <v>444</v>
      </c>
      <c r="H51" s="8" t="s">
        <v>23</v>
      </c>
    </row>
    <row r="52" spans="1:8" ht="15" x14ac:dyDescent="0.2">
      <c r="A52" s="7" t="s">
        <v>445</v>
      </c>
      <c r="B52" s="8" t="s">
        <v>420</v>
      </c>
      <c r="C52" s="8" t="s">
        <v>446</v>
      </c>
      <c r="D52" s="8" t="s">
        <v>447</v>
      </c>
      <c r="E52" s="8" t="s">
        <v>438</v>
      </c>
      <c r="F52" s="8" t="s">
        <v>448</v>
      </c>
      <c r="G52" s="8" t="s">
        <v>448</v>
      </c>
      <c r="H52" s="8" t="s">
        <v>15</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3"/>
  <sheetViews>
    <sheetView workbookViewId="0">
      <selection sqref="A1:K1"/>
    </sheetView>
  </sheetViews>
  <sheetFormatPr defaultColWidth="12.5703125" defaultRowHeight="15.75" customHeight="1" x14ac:dyDescent="0.2"/>
  <cols>
    <col min="1" max="1" width="20.85546875" customWidth="1"/>
    <col min="2" max="2" width="15" customWidth="1"/>
    <col min="3" max="3" width="87.85546875" customWidth="1"/>
    <col min="4" max="4" width="56.42578125" customWidth="1"/>
    <col min="5" max="5" width="167.140625" customWidth="1"/>
    <col min="6" max="6" width="67.140625" customWidth="1"/>
    <col min="7" max="7" width="43.7109375" customWidth="1"/>
    <col min="8" max="8" width="5.7109375" customWidth="1"/>
  </cols>
  <sheetData>
    <row r="1" spans="1:26" ht="15.75" customHeight="1" x14ac:dyDescent="0.25">
      <c r="A1" s="32" t="s">
        <v>449</v>
      </c>
      <c r="B1" s="29"/>
      <c r="C1" s="29"/>
      <c r="D1" s="29"/>
      <c r="E1" s="29"/>
      <c r="F1" s="29"/>
      <c r="G1" s="29"/>
      <c r="H1" s="29"/>
      <c r="I1" s="29"/>
      <c r="J1" s="29"/>
      <c r="K1" s="30"/>
    </row>
    <row r="2" spans="1:26" x14ac:dyDescent="0.2">
      <c r="A2" s="13" t="s">
        <v>1</v>
      </c>
      <c r="B2" s="13" t="s">
        <v>2</v>
      </c>
      <c r="C2" s="13" t="s">
        <v>3</v>
      </c>
      <c r="D2" s="13" t="s">
        <v>4</v>
      </c>
      <c r="E2" s="13" t="s">
        <v>5</v>
      </c>
      <c r="F2" s="13" t="s">
        <v>6</v>
      </c>
      <c r="G2" s="13" t="s">
        <v>7</v>
      </c>
      <c r="H2" s="13" t="s">
        <v>8</v>
      </c>
      <c r="I2" s="14"/>
      <c r="J2" s="15"/>
      <c r="K2" s="15"/>
      <c r="L2" s="15"/>
      <c r="M2" s="15"/>
      <c r="N2" s="15"/>
      <c r="O2" s="15"/>
      <c r="P2" s="15"/>
      <c r="Q2" s="15"/>
      <c r="R2" s="15"/>
      <c r="S2" s="15"/>
      <c r="T2" s="15"/>
      <c r="U2" s="15"/>
      <c r="V2" s="15"/>
      <c r="W2" s="15"/>
      <c r="X2" s="15"/>
      <c r="Y2" s="15"/>
      <c r="Z2" s="15"/>
    </row>
    <row r="3" spans="1:26" x14ac:dyDescent="0.2">
      <c r="A3" s="2" t="s">
        <v>450</v>
      </c>
      <c r="B3" s="2" t="s">
        <v>451</v>
      </c>
      <c r="C3" s="2" t="s">
        <v>452</v>
      </c>
      <c r="D3" s="2" t="s">
        <v>453</v>
      </c>
      <c r="E3" s="16" t="s">
        <v>454</v>
      </c>
      <c r="F3" s="2" t="s">
        <v>455</v>
      </c>
      <c r="G3" s="2"/>
      <c r="H3" s="2" t="s">
        <v>15</v>
      </c>
    </row>
    <row r="4" spans="1:26" x14ac:dyDescent="0.2">
      <c r="A4" s="2" t="s">
        <v>456</v>
      </c>
      <c r="B4" s="2" t="s">
        <v>457</v>
      </c>
      <c r="C4" s="2" t="s">
        <v>458</v>
      </c>
      <c r="D4" s="2" t="s">
        <v>459</v>
      </c>
      <c r="E4" s="2" t="s">
        <v>460</v>
      </c>
      <c r="F4" s="2" t="s">
        <v>461</v>
      </c>
      <c r="G4" s="2" t="s">
        <v>462</v>
      </c>
      <c r="H4" s="2" t="s">
        <v>15</v>
      </c>
    </row>
    <row r="5" spans="1:26" x14ac:dyDescent="0.2">
      <c r="A5" s="2" t="s">
        <v>463</v>
      </c>
      <c r="B5" s="2" t="s">
        <v>457</v>
      </c>
      <c r="C5" s="2" t="s">
        <v>464</v>
      </c>
      <c r="D5" s="2" t="s">
        <v>459</v>
      </c>
      <c r="E5" s="2" t="s">
        <v>465</v>
      </c>
      <c r="F5" s="2" t="s">
        <v>466</v>
      </c>
      <c r="G5" s="2" t="s">
        <v>467</v>
      </c>
      <c r="H5" s="2" t="s">
        <v>15</v>
      </c>
    </row>
    <row r="6" spans="1:26" x14ac:dyDescent="0.2">
      <c r="A6" s="2" t="s">
        <v>468</v>
      </c>
      <c r="B6" s="2" t="s">
        <v>469</v>
      </c>
      <c r="C6" s="2" t="s">
        <v>470</v>
      </c>
      <c r="D6" s="2" t="s">
        <v>459</v>
      </c>
      <c r="E6" s="2" t="s">
        <v>471</v>
      </c>
      <c r="F6" s="2" t="s">
        <v>472</v>
      </c>
      <c r="G6" s="2" t="s">
        <v>473</v>
      </c>
      <c r="H6" s="2" t="s">
        <v>15</v>
      </c>
    </row>
    <row r="7" spans="1:26" x14ac:dyDescent="0.2">
      <c r="A7" s="2" t="s">
        <v>474</v>
      </c>
      <c r="B7" s="2" t="s">
        <v>469</v>
      </c>
      <c r="C7" s="2" t="s">
        <v>475</v>
      </c>
      <c r="D7" s="2" t="s">
        <v>459</v>
      </c>
      <c r="E7" s="2" t="s">
        <v>476</v>
      </c>
      <c r="F7" s="2" t="s">
        <v>472</v>
      </c>
      <c r="G7" s="2" t="s">
        <v>473</v>
      </c>
      <c r="H7" s="2" t="s">
        <v>15</v>
      </c>
    </row>
    <row r="8" spans="1:26" x14ac:dyDescent="0.2">
      <c r="A8" s="2" t="s">
        <v>477</v>
      </c>
      <c r="B8" s="2" t="s">
        <v>469</v>
      </c>
      <c r="C8" s="2" t="s">
        <v>478</v>
      </c>
      <c r="D8" s="2" t="s">
        <v>459</v>
      </c>
      <c r="E8" s="2" t="s">
        <v>479</v>
      </c>
      <c r="F8" s="2" t="s">
        <v>472</v>
      </c>
      <c r="G8" s="2" t="s">
        <v>480</v>
      </c>
      <c r="H8" s="2" t="s">
        <v>15</v>
      </c>
    </row>
    <row r="9" spans="1:26" x14ac:dyDescent="0.2">
      <c r="A9" s="2" t="s">
        <v>481</v>
      </c>
      <c r="B9" s="2" t="s">
        <v>482</v>
      </c>
      <c r="C9" s="2" t="s">
        <v>483</v>
      </c>
      <c r="D9" s="2" t="s">
        <v>459</v>
      </c>
      <c r="E9" s="2" t="s">
        <v>484</v>
      </c>
      <c r="F9" s="2" t="s">
        <v>485</v>
      </c>
      <c r="G9" s="2" t="s">
        <v>486</v>
      </c>
      <c r="H9" s="2" t="s">
        <v>15</v>
      </c>
    </row>
    <row r="10" spans="1:26" x14ac:dyDescent="0.2">
      <c r="A10" s="2" t="s">
        <v>487</v>
      </c>
      <c r="B10" s="2" t="s">
        <v>488</v>
      </c>
      <c r="C10" s="2" t="s">
        <v>489</v>
      </c>
      <c r="D10" s="2" t="s">
        <v>459</v>
      </c>
      <c r="E10" s="2" t="s">
        <v>490</v>
      </c>
      <c r="F10" s="2" t="s">
        <v>491</v>
      </c>
      <c r="G10" s="2" t="s">
        <v>492</v>
      </c>
      <c r="H10" s="2" t="s">
        <v>15</v>
      </c>
    </row>
    <row r="11" spans="1:26" x14ac:dyDescent="0.2">
      <c r="A11" s="2" t="s">
        <v>493</v>
      </c>
      <c r="B11" s="2" t="s">
        <v>488</v>
      </c>
      <c r="C11" s="2" t="s">
        <v>494</v>
      </c>
      <c r="D11" s="2" t="s">
        <v>459</v>
      </c>
      <c r="E11" s="2" t="s">
        <v>495</v>
      </c>
      <c r="F11" s="2" t="s">
        <v>496</v>
      </c>
      <c r="G11" s="2" t="s">
        <v>497</v>
      </c>
      <c r="H11" s="2" t="s">
        <v>15</v>
      </c>
    </row>
    <row r="12" spans="1:26" x14ac:dyDescent="0.2">
      <c r="A12" s="2" t="s">
        <v>498</v>
      </c>
      <c r="B12" s="2" t="s">
        <v>499</v>
      </c>
      <c r="C12" s="2" t="s">
        <v>500</v>
      </c>
      <c r="D12" s="2" t="s">
        <v>459</v>
      </c>
      <c r="E12" s="2" t="s">
        <v>501</v>
      </c>
      <c r="F12" s="2" t="s">
        <v>502</v>
      </c>
      <c r="G12" s="2" t="s">
        <v>503</v>
      </c>
      <c r="H12" s="2" t="s">
        <v>15</v>
      </c>
    </row>
    <row r="13" spans="1:26" x14ac:dyDescent="0.2">
      <c r="A13" s="2" t="s">
        <v>504</v>
      </c>
      <c r="B13" s="2" t="s">
        <v>499</v>
      </c>
      <c r="C13" s="2" t="s">
        <v>505</v>
      </c>
      <c r="D13" s="2" t="s">
        <v>459</v>
      </c>
      <c r="E13" s="2" t="s">
        <v>506</v>
      </c>
      <c r="F13" s="2" t="s">
        <v>502</v>
      </c>
      <c r="G13" s="2" t="s">
        <v>507</v>
      </c>
      <c r="H13" s="2" t="s">
        <v>15</v>
      </c>
    </row>
    <row r="14" spans="1:26" x14ac:dyDescent="0.2">
      <c r="A14" s="2" t="s">
        <v>508</v>
      </c>
      <c r="B14" s="2" t="s">
        <v>499</v>
      </c>
      <c r="C14" s="2" t="s">
        <v>509</v>
      </c>
      <c r="D14" s="2" t="s">
        <v>459</v>
      </c>
      <c r="E14" s="2" t="s">
        <v>510</v>
      </c>
      <c r="F14" s="2" t="s">
        <v>502</v>
      </c>
      <c r="G14" s="2" t="s">
        <v>511</v>
      </c>
      <c r="H14" s="2" t="s">
        <v>15</v>
      </c>
    </row>
    <row r="15" spans="1:26" x14ac:dyDescent="0.2">
      <c r="A15" s="2" t="s">
        <v>512</v>
      </c>
      <c r="B15" s="2" t="s">
        <v>469</v>
      </c>
      <c r="C15" s="2" t="s">
        <v>513</v>
      </c>
      <c r="D15" s="2" t="s">
        <v>459</v>
      </c>
      <c r="E15" s="2" t="s">
        <v>471</v>
      </c>
      <c r="F15" s="2" t="s">
        <v>514</v>
      </c>
      <c r="G15" s="2" t="s">
        <v>515</v>
      </c>
      <c r="H15" s="2" t="s">
        <v>15</v>
      </c>
    </row>
    <row r="16" spans="1:26" x14ac:dyDescent="0.2">
      <c r="A16" s="2" t="s">
        <v>516</v>
      </c>
      <c r="B16" s="2" t="s">
        <v>469</v>
      </c>
      <c r="C16" s="2" t="s">
        <v>517</v>
      </c>
      <c r="D16" s="2" t="s">
        <v>459</v>
      </c>
      <c r="E16" s="2" t="s">
        <v>476</v>
      </c>
      <c r="F16" s="2" t="s">
        <v>514</v>
      </c>
      <c r="G16" s="2" t="s">
        <v>515</v>
      </c>
      <c r="H16" s="2" t="s">
        <v>15</v>
      </c>
    </row>
    <row r="17" spans="1:8" x14ac:dyDescent="0.2">
      <c r="A17" s="2" t="s">
        <v>518</v>
      </c>
      <c r="B17" s="2" t="s">
        <v>469</v>
      </c>
      <c r="C17" s="2" t="s">
        <v>519</v>
      </c>
      <c r="D17" s="2" t="s">
        <v>459</v>
      </c>
      <c r="E17" s="2" t="s">
        <v>479</v>
      </c>
      <c r="F17" s="2" t="s">
        <v>514</v>
      </c>
      <c r="G17" s="2" t="s">
        <v>515</v>
      </c>
      <c r="H17" s="2" t="s">
        <v>15</v>
      </c>
    </row>
    <row r="18" spans="1:8" x14ac:dyDescent="0.2">
      <c r="A18" s="2" t="s">
        <v>520</v>
      </c>
      <c r="B18" s="2" t="s">
        <v>521</v>
      </c>
      <c r="C18" s="2" t="s">
        <v>522</v>
      </c>
      <c r="D18" s="2" t="s">
        <v>523</v>
      </c>
      <c r="E18" s="2" t="s">
        <v>524</v>
      </c>
      <c r="F18" s="2" t="s">
        <v>525</v>
      </c>
      <c r="G18" s="2" t="s">
        <v>526</v>
      </c>
      <c r="H18" s="2" t="s">
        <v>15</v>
      </c>
    </row>
    <row r="19" spans="1:8" x14ac:dyDescent="0.2">
      <c r="A19" s="2" t="s">
        <v>527</v>
      </c>
      <c r="B19" s="2" t="s">
        <v>521</v>
      </c>
      <c r="C19" s="2" t="s">
        <v>528</v>
      </c>
      <c r="D19" s="2" t="s">
        <v>529</v>
      </c>
      <c r="E19" s="2" t="s">
        <v>530</v>
      </c>
      <c r="F19" s="2" t="s">
        <v>531</v>
      </c>
      <c r="G19" s="2" t="s">
        <v>526</v>
      </c>
      <c r="H19" s="2" t="s">
        <v>15</v>
      </c>
    </row>
    <row r="20" spans="1:8" x14ac:dyDescent="0.2">
      <c r="A20" s="2" t="s">
        <v>532</v>
      </c>
      <c r="B20" s="2" t="s">
        <v>521</v>
      </c>
      <c r="C20" s="2" t="s">
        <v>533</v>
      </c>
      <c r="D20" s="2" t="s">
        <v>534</v>
      </c>
      <c r="E20" s="2" t="s">
        <v>530</v>
      </c>
      <c r="F20" s="2" t="s">
        <v>535</v>
      </c>
      <c r="G20" s="2" t="s">
        <v>526</v>
      </c>
      <c r="H20" s="2" t="s">
        <v>15</v>
      </c>
    </row>
    <row r="21" spans="1:8" x14ac:dyDescent="0.2">
      <c r="A21" s="2" t="s">
        <v>536</v>
      </c>
      <c r="B21" s="2" t="s">
        <v>521</v>
      </c>
      <c r="C21" s="2" t="s">
        <v>537</v>
      </c>
      <c r="D21" s="2" t="s">
        <v>538</v>
      </c>
      <c r="E21" s="2" t="s">
        <v>539</v>
      </c>
      <c r="F21" s="2" t="s">
        <v>540</v>
      </c>
      <c r="G21" s="2" t="s">
        <v>541</v>
      </c>
      <c r="H21" s="2" t="s">
        <v>15</v>
      </c>
    </row>
    <row r="22" spans="1:8" x14ac:dyDescent="0.2">
      <c r="A22" s="2" t="s">
        <v>542</v>
      </c>
      <c r="B22" s="2" t="s">
        <v>521</v>
      </c>
      <c r="C22" s="2" t="s">
        <v>537</v>
      </c>
      <c r="D22" s="2" t="s">
        <v>538</v>
      </c>
      <c r="E22" s="2" t="s">
        <v>543</v>
      </c>
      <c r="F22" s="2" t="s">
        <v>540</v>
      </c>
      <c r="G22" s="2" t="s">
        <v>541</v>
      </c>
      <c r="H22" s="2" t="s">
        <v>15</v>
      </c>
    </row>
    <row r="23" spans="1:8" x14ac:dyDescent="0.2">
      <c r="A23" s="2" t="s">
        <v>544</v>
      </c>
      <c r="B23" s="17" t="s">
        <v>545</v>
      </c>
      <c r="C23" s="17" t="s">
        <v>546</v>
      </c>
      <c r="D23" s="17" t="s">
        <v>459</v>
      </c>
      <c r="E23" s="17" t="s">
        <v>547</v>
      </c>
      <c r="F23" s="17" t="s">
        <v>548</v>
      </c>
      <c r="G23" s="17" t="s">
        <v>549</v>
      </c>
      <c r="H23" s="17" t="s">
        <v>23</v>
      </c>
    </row>
  </sheetData>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23"/>
  <sheetViews>
    <sheetView workbookViewId="0">
      <selection sqref="A1:J1"/>
    </sheetView>
  </sheetViews>
  <sheetFormatPr defaultColWidth="12.5703125" defaultRowHeight="15.75" customHeight="1" x14ac:dyDescent="0.2"/>
  <cols>
    <col min="2" max="2" width="23.42578125" customWidth="1"/>
    <col min="3" max="3" width="44.42578125" customWidth="1"/>
    <col min="4" max="4" width="31.5703125" customWidth="1"/>
    <col min="5" max="5" width="43.7109375" customWidth="1"/>
    <col min="6" max="6" width="81.140625" customWidth="1"/>
    <col min="7" max="7" width="61.28515625" customWidth="1"/>
    <col min="8" max="8" width="10.28515625" customWidth="1"/>
  </cols>
  <sheetData>
    <row r="1" spans="1:25" ht="15.75" customHeight="1" x14ac:dyDescent="0.25">
      <c r="A1" s="28" t="s">
        <v>550</v>
      </c>
      <c r="B1" s="29"/>
      <c r="C1" s="29"/>
      <c r="D1" s="29"/>
      <c r="E1" s="29"/>
      <c r="F1" s="29"/>
      <c r="G1" s="29"/>
      <c r="H1" s="29"/>
      <c r="I1" s="29"/>
      <c r="J1" s="30"/>
    </row>
    <row r="2" spans="1:25" x14ac:dyDescent="0.2">
      <c r="A2" s="18" t="s">
        <v>1</v>
      </c>
      <c r="B2" s="18" t="s">
        <v>2</v>
      </c>
      <c r="C2" s="18" t="s">
        <v>3</v>
      </c>
      <c r="D2" s="18" t="s">
        <v>4</v>
      </c>
      <c r="E2" s="18" t="s">
        <v>5</v>
      </c>
      <c r="F2" s="18" t="s">
        <v>551</v>
      </c>
      <c r="G2" s="18" t="s">
        <v>7</v>
      </c>
      <c r="H2" s="18" t="s">
        <v>8</v>
      </c>
      <c r="I2" s="19"/>
      <c r="J2" s="19"/>
      <c r="K2" s="20"/>
      <c r="L2" s="20"/>
      <c r="M2" s="20"/>
      <c r="N2" s="20"/>
      <c r="O2" s="20"/>
      <c r="P2" s="20"/>
      <c r="Q2" s="20"/>
      <c r="R2" s="20"/>
      <c r="S2" s="20"/>
      <c r="T2" s="20"/>
      <c r="U2" s="20"/>
      <c r="V2" s="20"/>
      <c r="W2" s="20"/>
      <c r="X2" s="20"/>
      <c r="Y2" s="20"/>
    </row>
    <row r="3" spans="1:25" ht="15.75" customHeight="1" x14ac:dyDescent="0.25">
      <c r="A3" s="21" t="s">
        <v>552</v>
      </c>
      <c r="B3" s="21" t="s">
        <v>451</v>
      </c>
      <c r="C3" s="21" t="s">
        <v>553</v>
      </c>
      <c r="D3" s="21" t="s">
        <v>554</v>
      </c>
      <c r="E3" s="21" t="s">
        <v>555</v>
      </c>
      <c r="F3" s="21" t="s">
        <v>556</v>
      </c>
      <c r="G3" s="21" t="s">
        <v>557</v>
      </c>
      <c r="H3" s="21" t="s">
        <v>15</v>
      </c>
    </row>
    <row r="4" spans="1:25" ht="15.75" customHeight="1" x14ac:dyDescent="0.25">
      <c r="A4" s="21" t="s">
        <v>558</v>
      </c>
      <c r="B4" s="21" t="s">
        <v>559</v>
      </c>
      <c r="C4" s="21" t="s">
        <v>560</v>
      </c>
      <c r="D4" s="21" t="s">
        <v>561</v>
      </c>
      <c r="E4" s="21" t="s">
        <v>562</v>
      </c>
      <c r="F4" s="21" t="s">
        <v>563</v>
      </c>
      <c r="G4" s="21" t="s">
        <v>564</v>
      </c>
      <c r="H4" s="21" t="s">
        <v>15</v>
      </c>
    </row>
    <row r="5" spans="1:25" ht="15.75" customHeight="1" x14ac:dyDescent="0.25">
      <c r="A5" s="21" t="s">
        <v>565</v>
      </c>
      <c r="B5" s="21" t="s">
        <v>566</v>
      </c>
      <c r="C5" s="21" t="s">
        <v>567</v>
      </c>
      <c r="D5" s="21" t="s">
        <v>568</v>
      </c>
      <c r="E5" s="21" t="s">
        <v>569</v>
      </c>
      <c r="F5" s="21" t="s">
        <v>570</v>
      </c>
      <c r="G5" s="21" t="s">
        <v>571</v>
      </c>
      <c r="H5" s="21" t="s">
        <v>15</v>
      </c>
    </row>
    <row r="6" spans="1:25" ht="15.75" customHeight="1" x14ac:dyDescent="0.25">
      <c r="A6" s="21" t="s">
        <v>572</v>
      </c>
      <c r="B6" s="21" t="s">
        <v>573</v>
      </c>
      <c r="C6" s="21" t="s">
        <v>574</v>
      </c>
      <c r="D6" s="21" t="s">
        <v>575</v>
      </c>
      <c r="E6" s="21" t="s">
        <v>576</v>
      </c>
      <c r="F6" s="21" t="s">
        <v>577</v>
      </c>
      <c r="G6" s="21" t="s">
        <v>578</v>
      </c>
      <c r="H6" s="21" t="s">
        <v>23</v>
      </c>
    </row>
    <row r="7" spans="1:25" ht="15.75" customHeight="1" x14ac:dyDescent="0.25">
      <c r="A7" s="21" t="s">
        <v>579</v>
      </c>
      <c r="B7" s="21" t="s">
        <v>580</v>
      </c>
      <c r="C7" s="21" t="s">
        <v>581</v>
      </c>
      <c r="D7" s="21" t="s">
        <v>582</v>
      </c>
      <c r="E7" s="21" t="s">
        <v>583</v>
      </c>
      <c r="F7" s="21" t="s">
        <v>584</v>
      </c>
      <c r="G7" s="21" t="s">
        <v>585</v>
      </c>
      <c r="H7" s="21" t="s">
        <v>15</v>
      </c>
    </row>
    <row r="8" spans="1:25" ht="15.75" customHeight="1" x14ac:dyDescent="0.25">
      <c r="A8" s="21" t="s">
        <v>586</v>
      </c>
      <c r="B8" s="21" t="s">
        <v>587</v>
      </c>
      <c r="C8" s="21" t="s">
        <v>588</v>
      </c>
      <c r="D8" s="21" t="s">
        <v>589</v>
      </c>
      <c r="E8" s="21" t="s">
        <v>590</v>
      </c>
      <c r="F8" s="21" t="s">
        <v>591</v>
      </c>
      <c r="G8" s="21" t="s">
        <v>592</v>
      </c>
      <c r="H8" s="21" t="s">
        <v>23</v>
      </c>
    </row>
    <row r="9" spans="1:25" ht="15.75" customHeight="1" x14ac:dyDescent="0.25">
      <c r="A9" s="21" t="s">
        <v>593</v>
      </c>
      <c r="B9" s="21" t="s">
        <v>594</v>
      </c>
      <c r="C9" s="21" t="s">
        <v>595</v>
      </c>
      <c r="D9" s="21" t="s">
        <v>596</v>
      </c>
      <c r="E9" s="21" t="s">
        <v>597</v>
      </c>
      <c r="F9" s="21" t="s">
        <v>598</v>
      </c>
      <c r="G9" s="21" t="s">
        <v>599</v>
      </c>
      <c r="H9" s="21" t="s">
        <v>15</v>
      </c>
    </row>
    <row r="10" spans="1:25" ht="15.75" customHeight="1" x14ac:dyDescent="0.25">
      <c r="A10" s="21" t="s">
        <v>600</v>
      </c>
      <c r="B10" s="21" t="s">
        <v>601</v>
      </c>
      <c r="C10" s="21" t="s">
        <v>602</v>
      </c>
      <c r="D10" s="21" t="s">
        <v>603</v>
      </c>
      <c r="E10" s="21" t="s">
        <v>604</v>
      </c>
      <c r="F10" s="21" t="s">
        <v>605</v>
      </c>
      <c r="G10" s="21" t="s">
        <v>606</v>
      </c>
      <c r="H10" s="21" t="s">
        <v>15</v>
      </c>
    </row>
    <row r="11" spans="1:25" ht="15.75" customHeight="1" x14ac:dyDescent="0.25">
      <c r="A11" s="21" t="s">
        <v>607</v>
      </c>
      <c r="B11" s="21" t="s">
        <v>608</v>
      </c>
      <c r="C11" s="21" t="s">
        <v>609</v>
      </c>
      <c r="D11" s="21" t="s">
        <v>610</v>
      </c>
      <c r="E11" s="21" t="s">
        <v>611</v>
      </c>
      <c r="F11" s="21" t="s">
        <v>612</v>
      </c>
      <c r="G11" s="21" t="s">
        <v>613</v>
      </c>
      <c r="H11" s="21" t="s">
        <v>15</v>
      </c>
    </row>
    <row r="12" spans="1:25" ht="15.75" customHeight="1" x14ac:dyDescent="0.25">
      <c r="A12" s="21" t="s">
        <v>614</v>
      </c>
      <c r="B12" s="21" t="s">
        <v>615</v>
      </c>
      <c r="C12" s="21" t="s">
        <v>616</v>
      </c>
      <c r="D12" s="21" t="s">
        <v>617</v>
      </c>
      <c r="E12" s="21" t="s">
        <v>618</v>
      </c>
      <c r="F12" s="21" t="s">
        <v>619</v>
      </c>
      <c r="G12" s="21" t="s">
        <v>620</v>
      </c>
      <c r="H12" s="21" t="s">
        <v>15</v>
      </c>
    </row>
    <row r="13" spans="1:25" ht="15.75" customHeight="1" x14ac:dyDescent="0.25">
      <c r="A13" s="21" t="s">
        <v>621</v>
      </c>
      <c r="B13" s="21" t="s">
        <v>622</v>
      </c>
      <c r="C13" s="21" t="s">
        <v>623</v>
      </c>
      <c r="D13" s="21" t="s">
        <v>624</v>
      </c>
      <c r="E13" s="21" t="s">
        <v>625</v>
      </c>
      <c r="F13" s="21" t="s">
        <v>626</v>
      </c>
      <c r="G13" s="21" t="s">
        <v>627</v>
      </c>
      <c r="H13" s="21" t="s">
        <v>15</v>
      </c>
    </row>
    <row r="14" spans="1:25" ht="15.75" customHeight="1" x14ac:dyDescent="0.25">
      <c r="A14" s="21" t="s">
        <v>628</v>
      </c>
      <c r="B14" s="21" t="s">
        <v>629</v>
      </c>
      <c r="C14" s="21" t="s">
        <v>630</v>
      </c>
      <c r="D14" s="21" t="s">
        <v>631</v>
      </c>
      <c r="E14" s="21" t="s">
        <v>632</v>
      </c>
      <c r="F14" s="21" t="s">
        <v>633</v>
      </c>
      <c r="G14" s="21" t="s">
        <v>634</v>
      </c>
      <c r="H14" s="21" t="s">
        <v>15</v>
      </c>
    </row>
    <row r="15" spans="1:25" ht="15.75" customHeight="1" x14ac:dyDescent="0.25">
      <c r="A15" s="21" t="s">
        <v>635</v>
      </c>
      <c r="B15" s="21" t="s">
        <v>636</v>
      </c>
      <c r="C15" s="21" t="s">
        <v>637</v>
      </c>
      <c r="D15" s="21" t="s">
        <v>638</v>
      </c>
      <c r="E15" s="21" t="s">
        <v>639</v>
      </c>
      <c r="F15" s="21" t="s">
        <v>640</v>
      </c>
      <c r="G15" s="21" t="s">
        <v>641</v>
      </c>
      <c r="H15" s="21" t="s">
        <v>15</v>
      </c>
    </row>
    <row r="16" spans="1:25" ht="15.75" customHeight="1" x14ac:dyDescent="0.25">
      <c r="A16" s="21" t="s">
        <v>642</v>
      </c>
      <c r="B16" s="21" t="s">
        <v>643</v>
      </c>
      <c r="C16" s="21" t="s">
        <v>644</v>
      </c>
      <c r="D16" s="21" t="s">
        <v>645</v>
      </c>
      <c r="E16" s="21" t="s">
        <v>646</v>
      </c>
      <c r="F16" s="21" t="s">
        <v>647</v>
      </c>
      <c r="G16" s="21" t="s">
        <v>121</v>
      </c>
      <c r="H16" s="21" t="s">
        <v>15</v>
      </c>
    </row>
    <row r="17" spans="1:8" ht="15.75" customHeight="1" x14ac:dyDescent="0.25">
      <c r="A17" s="21" t="s">
        <v>648</v>
      </c>
      <c r="B17" s="21" t="s">
        <v>649</v>
      </c>
      <c r="C17" s="21" t="s">
        <v>650</v>
      </c>
      <c r="D17" s="21" t="s">
        <v>651</v>
      </c>
      <c r="E17" s="21" t="s">
        <v>652</v>
      </c>
      <c r="F17" s="21" t="s">
        <v>653</v>
      </c>
      <c r="G17" s="21" t="s">
        <v>654</v>
      </c>
      <c r="H17" s="21" t="s">
        <v>15</v>
      </c>
    </row>
    <row r="18" spans="1:8" ht="15.75" customHeight="1" x14ac:dyDescent="0.25">
      <c r="A18" s="21" t="s">
        <v>655</v>
      </c>
      <c r="B18" s="21" t="s">
        <v>656</v>
      </c>
      <c r="C18" s="21" t="s">
        <v>657</v>
      </c>
      <c r="D18" s="21" t="s">
        <v>658</v>
      </c>
      <c r="E18" s="21" t="s">
        <v>659</v>
      </c>
      <c r="F18" s="21" t="s">
        <v>660</v>
      </c>
      <c r="G18" s="21" t="s">
        <v>661</v>
      </c>
      <c r="H18" s="21" t="s">
        <v>15</v>
      </c>
    </row>
    <row r="19" spans="1:8" ht="15.75" customHeight="1" x14ac:dyDescent="0.25">
      <c r="A19" s="21" t="s">
        <v>662</v>
      </c>
      <c r="B19" s="21" t="s">
        <v>116</v>
      </c>
      <c r="C19" s="21" t="s">
        <v>663</v>
      </c>
      <c r="D19" s="21" t="s">
        <v>664</v>
      </c>
      <c r="E19" s="21" t="s">
        <v>665</v>
      </c>
      <c r="F19" s="21" t="s">
        <v>666</v>
      </c>
      <c r="G19" s="21" t="s">
        <v>667</v>
      </c>
      <c r="H19" s="21" t="s">
        <v>15</v>
      </c>
    </row>
    <row r="20" spans="1:8" ht="15.75" customHeight="1" x14ac:dyDescent="0.25">
      <c r="A20" s="21" t="s">
        <v>668</v>
      </c>
      <c r="B20" s="21" t="s">
        <v>669</v>
      </c>
      <c r="C20" s="21" t="s">
        <v>670</v>
      </c>
      <c r="D20" s="21" t="s">
        <v>671</v>
      </c>
      <c r="E20" s="21" t="s">
        <v>672</v>
      </c>
      <c r="F20" s="21" t="s">
        <v>673</v>
      </c>
      <c r="G20" s="21" t="s">
        <v>674</v>
      </c>
      <c r="H20" s="21" t="s">
        <v>15</v>
      </c>
    </row>
    <row r="21" spans="1:8" ht="15.75" customHeight="1" x14ac:dyDescent="0.25">
      <c r="A21" s="21" t="s">
        <v>675</v>
      </c>
      <c r="B21" s="21" t="s">
        <v>676</v>
      </c>
      <c r="C21" s="21" t="s">
        <v>677</v>
      </c>
      <c r="D21" s="21" t="s">
        <v>678</v>
      </c>
      <c r="E21" s="21" t="s">
        <v>679</v>
      </c>
      <c r="F21" s="21" t="s">
        <v>680</v>
      </c>
      <c r="G21" s="21" t="s">
        <v>681</v>
      </c>
      <c r="H21" s="21" t="s">
        <v>15</v>
      </c>
    </row>
    <row r="22" spans="1:8" ht="15.75" customHeight="1" x14ac:dyDescent="0.25">
      <c r="A22" s="21" t="s">
        <v>682</v>
      </c>
      <c r="B22" s="21" t="s">
        <v>683</v>
      </c>
      <c r="C22" s="21" t="s">
        <v>684</v>
      </c>
      <c r="D22" s="21" t="s">
        <v>685</v>
      </c>
      <c r="E22" s="21" t="s">
        <v>686</v>
      </c>
      <c r="F22" s="21" t="s">
        <v>687</v>
      </c>
      <c r="G22" s="21" t="s">
        <v>688</v>
      </c>
      <c r="H22" s="21" t="s">
        <v>15</v>
      </c>
    </row>
    <row r="23" spans="1:8" ht="15.75" customHeight="1" x14ac:dyDescent="0.25">
      <c r="A23" s="21" t="s">
        <v>689</v>
      </c>
      <c r="B23" s="21" t="s">
        <v>690</v>
      </c>
      <c r="C23" s="21" t="s">
        <v>691</v>
      </c>
      <c r="D23" s="21" t="s">
        <v>692</v>
      </c>
      <c r="E23" s="21" t="s">
        <v>693</v>
      </c>
      <c r="F23" s="21" t="s">
        <v>694</v>
      </c>
      <c r="G23" s="21" t="s">
        <v>695</v>
      </c>
      <c r="H23" s="21" t="s">
        <v>15</v>
      </c>
    </row>
  </sheetData>
  <mergeCells count="1">
    <mergeCell ref="A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6"/>
  <sheetViews>
    <sheetView tabSelected="1" workbookViewId="0">
      <selection activeCell="K1" sqref="K1"/>
    </sheetView>
  </sheetViews>
  <sheetFormatPr defaultColWidth="12.5703125" defaultRowHeight="15.75" customHeight="1" x14ac:dyDescent="0.2"/>
  <cols>
    <col min="11" max="11" width="39.7109375" bestFit="1" customWidth="1"/>
  </cols>
  <sheetData>
    <row r="1" spans="1:11" x14ac:dyDescent="0.2">
      <c r="A1" s="22" t="s">
        <v>696</v>
      </c>
      <c r="B1" s="22" t="s">
        <v>697</v>
      </c>
      <c r="C1" s="22" t="s">
        <v>698</v>
      </c>
      <c r="D1" s="22" t="s">
        <v>699</v>
      </c>
      <c r="E1" s="22" t="s">
        <v>700</v>
      </c>
      <c r="F1" s="22" t="s">
        <v>701</v>
      </c>
      <c r="G1" s="22" t="s">
        <v>702</v>
      </c>
      <c r="H1" s="22" t="s">
        <v>703</v>
      </c>
      <c r="I1" s="22" t="s">
        <v>704</v>
      </c>
      <c r="J1" s="22" t="s">
        <v>705</v>
      </c>
      <c r="K1" s="22" t="s">
        <v>706</v>
      </c>
    </row>
    <row r="2" spans="1:11" x14ac:dyDescent="0.2">
      <c r="A2" s="23" t="s">
        <v>707</v>
      </c>
      <c r="B2" s="24">
        <v>20</v>
      </c>
      <c r="C2" s="24">
        <v>17</v>
      </c>
      <c r="D2" s="24">
        <v>3</v>
      </c>
      <c r="E2" s="24">
        <v>0</v>
      </c>
      <c r="F2" s="24">
        <v>0</v>
      </c>
      <c r="G2" s="24">
        <v>0</v>
      </c>
      <c r="H2" s="24">
        <v>20</v>
      </c>
      <c r="I2" s="24">
        <v>0.85</v>
      </c>
      <c r="J2" s="24">
        <v>1</v>
      </c>
      <c r="K2" s="23" t="s">
        <v>708</v>
      </c>
    </row>
    <row r="3" spans="1:11" x14ac:dyDescent="0.2">
      <c r="A3" s="23" t="s">
        <v>709</v>
      </c>
      <c r="B3" s="24">
        <v>50</v>
      </c>
      <c r="C3" s="24">
        <v>47</v>
      </c>
      <c r="D3" s="24">
        <v>3</v>
      </c>
      <c r="E3" s="24">
        <v>0</v>
      </c>
      <c r="F3" s="24">
        <v>0</v>
      </c>
      <c r="G3" s="24">
        <v>0</v>
      </c>
      <c r="H3" s="24">
        <v>50</v>
      </c>
      <c r="I3" s="24">
        <v>0.94</v>
      </c>
      <c r="J3" s="24">
        <v>1</v>
      </c>
      <c r="K3" s="23" t="s">
        <v>710</v>
      </c>
    </row>
    <row r="4" spans="1:11" x14ac:dyDescent="0.2">
      <c r="A4" s="23" t="s">
        <v>711</v>
      </c>
      <c r="B4" s="24">
        <v>21</v>
      </c>
      <c r="C4" s="24">
        <v>20</v>
      </c>
      <c r="D4" s="24">
        <v>1</v>
      </c>
      <c r="E4" s="24">
        <v>0</v>
      </c>
      <c r="F4" s="24">
        <v>0</v>
      </c>
      <c r="G4" s="24">
        <v>0</v>
      </c>
      <c r="H4" s="24">
        <v>20</v>
      </c>
      <c r="I4" s="24">
        <v>1</v>
      </c>
      <c r="J4" s="24">
        <v>0.95</v>
      </c>
      <c r="K4" s="23" t="s">
        <v>712</v>
      </c>
    </row>
    <row r="5" spans="1:11" x14ac:dyDescent="0.2">
      <c r="A5" s="23" t="s">
        <v>713</v>
      </c>
      <c r="B5" s="24">
        <v>21</v>
      </c>
      <c r="C5" s="24">
        <v>19</v>
      </c>
      <c r="D5" s="24">
        <v>2</v>
      </c>
      <c r="E5" s="24">
        <v>0</v>
      </c>
      <c r="F5" s="24">
        <v>0</v>
      </c>
      <c r="G5" s="24">
        <v>0</v>
      </c>
      <c r="H5" s="24">
        <v>22</v>
      </c>
      <c r="I5" s="24">
        <v>0.86</v>
      </c>
      <c r="J5" s="24">
        <v>1.05</v>
      </c>
      <c r="K5" s="23" t="s">
        <v>714</v>
      </c>
    </row>
    <row r="6" spans="1:11" x14ac:dyDescent="0.2">
      <c r="A6" s="25" t="s">
        <v>715</v>
      </c>
      <c r="B6" s="26">
        <f t="shared" ref="B6:F6" si="0">SUM(B2:B5)</f>
        <v>112</v>
      </c>
      <c r="C6" s="26">
        <f t="shared" si="0"/>
        <v>103</v>
      </c>
      <c r="D6" s="26">
        <f t="shared" si="0"/>
        <v>9</v>
      </c>
      <c r="E6" s="26">
        <f t="shared" si="0"/>
        <v>0</v>
      </c>
      <c r="F6" s="26">
        <f t="shared" si="0"/>
        <v>0</v>
      </c>
      <c r="G6" s="26">
        <f>B6-H6-E6-F6</f>
        <v>0</v>
      </c>
      <c r="H6" s="26">
        <f>C6+D6</f>
        <v>112</v>
      </c>
      <c r="I6" s="26">
        <f>C6/(B6-F6)</f>
        <v>0.9196428571428571</v>
      </c>
      <c r="J6" s="26">
        <f>H6/(B6-F6)</f>
        <v>1</v>
      </c>
      <c r="K6"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Online ACE</vt:lpstr>
      <vt:lpstr>Online Petition</vt:lpstr>
      <vt:lpstr>Course Offering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B. Aliño</cp:lastModifiedBy>
  <dcterms:modified xsi:type="dcterms:W3CDTF">2026-01-29T21:48:18Z</dcterms:modified>
</cp:coreProperties>
</file>